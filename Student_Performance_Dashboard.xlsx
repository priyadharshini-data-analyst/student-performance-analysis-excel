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 activeTab="3"/>
  </bookViews>
  <sheets>
    <sheet name="Data" sheetId="1" r:id="rId1"/>
    <sheet name="KPI" sheetId="2" r:id="rId2"/>
    <sheet name="Pivot and Chart" sheetId="3" r:id="rId3"/>
    <sheet name="Dashboard" sheetId="4" r:id="rId4"/>
  </sheets>
  <definedNames>
    <definedName name="Slicer_Department1">#N/A</definedName>
    <definedName name="Slicer_City2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<sst xmlns="http://schemas.openxmlformats.org/spreadsheetml/2006/main" count="3063" uniqueCount="862">
  <si>
    <t>Student_ID</t>
  </si>
  <si>
    <t>Name</t>
  </si>
  <si>
    <t>Gender</t>
  </si>
  <si>
    <t>Age</t>
  </si>
  <si>
    <t>Department</t>
  </si>
  <si>
    <t>City</t>
  </si>
  <si>
    <t>Attendance_Percentage</t>
  </si>
  <si>
    <t>Study_Hours</t>
  </si>
  <si>
    <t>Math_Marks</t>
  </si>
  <si>
    <t>Science_Marks</t>
  </si>
  <si>
    <t>English_Marks</t>
  </si>
  <si>
    <t>Computer_Marks</t>
  </si>
  <si>
    <t>Social_Marks</t>
  </si>
  <si>
    <t>Total_Marks</t>
  </si>
  <si>
    <t>Average_Marks</t>
  </si>
  <si>
    <t>Top_Performer</t>
  </si>
  <si>
    <t>Grade</t>
  </si>
  <si>
    <t>STU0001</t>
  </si>
  <si>
    <t>Pavithra Sharma</t>
  </si>
  <si>
    <t>Male</t>
  </si>
  <si>
    <t>Commerce</t>
  </si>
  <si>
    <t>Tiruppur</t>
  </si>
  <si>
    <t>STU0002</t>
  </si>
  <si>
    <t>Swetha Rani</t>
  </si>
  <si>
    <t>Business Administration</t>
  </si>
  <si>
    <t>STU0003</t>
  </si>
  <si>
    <t>Vaishnavi Devi</t>
  </si>
  <si>
    <t>Physics</t>
  </si>
  <si>
    <t>STU0004</t>
  </si>
  <si>
    <t>Rahul Kumar</t>
  </si>
  <si>
    <t>Female</t>
  </si>
  <si>
    <t>Coimbatore</t>
  </si>
  <si>
    <t>STU0005</t>
  </si>
  <si>
    <t>Rakesh Priya</t>
  </si>
  <si>
    <t>Information Technology</t>
  </si>
  <si>
    <t>Erode</t>
  </si>
  <si>
    <t>STU0006</t>
  </si>
  <si>
    <t>Aishwarya Kumar</t>
  </si>
  <si>
    <t>Computer Science</t>
  </si>
  <si>
    <t>Chennai</t>
  </si>
  <si>
    <t>STU0007</t>
  </si>
  <si>
    <t>Aditya Devi</t>
  </si>
  <si>
    <t>STU0008</t>
  </si>
  <si>
    <t>Priya Priya</t>
  </si>
  <si>
    <t>Salem</t>
  </si>
  <si>
    <t>Marks</t>
  </si>
  <si>
    <t>STU0009</t>
  </si>
  <si>
    <t>Dinesh Devi</t>
  </si>
  <si>
    <t>Mathematics</t>
  </si>
  <si>
    <t>Excellent</t>
  </si>
  <si>
    <t>STU0010</t>
  </si>
  <si>
    <t>Lavanya Devi</t>
  </si>
  <si>
    <t>Karur</t>
  </si>
  <si>
    <t>Good</t>
  </si>
  <si>
    <t>STU0011</t>
  </si>
  <si>
    <t>Naveen Rani</t>
  </si>
  <si>
    <t>Bad</t>
  </si>
  <si>
    <t>STU0012</t>
  </si>
  <si>
    <t>Rohit Rani</t>
  </si>
  <si>
    <t>Very bad</t>
  </si>
  <si>
    <t>STU0013</t>
  </si>
  <si>
    <t>Deepika Raj</t>
  </si>
  <si>
    <t>STU0014</t>
  </si>
  <si>
    <t>Krishna Priya</t>
  </si>
  <si>
    <t>Trichy</t>
  </si>
  <si>
    <t>STU0015</t>
  </si>
  <si>
    <t>Manoj Raj</t>
  </si>
  <si>
    <t>STU0016</t>
  </si>
  <si>
    <t>Ramya Priya</t>
  </si>
  <si>
    <t>STU0017</t>
  </si>
  <si>
    <t>Shreya Kumar</t>
  </si>
  <si>
    <t>STU0018</t>
  </si>
  <si>
    <t>Krishna Kumar</t>
  </si>
  <si>
    <t>STU0019</t>
  </si>
  <si>
    <t>STU0020</t>
  </si>
  <si>
    <t>Gokul Priya</t>
  </si>
  <si>
    <t>STU0021</t>
  </si>
  <si>
    <t>Sneha Devi</t>
  </si>
  <si>
    <t>STU0022</t>
  </si>
  <si>
    <t>Surya Sharma</t>
  </si>
  <si>
    <t>STU0023</t>
  </si>
  <si>
    <t>Keerthana Priya</t>
  </si>
  <si>
    <t>STU0024</t>
  </si>
  <si>
    <t>Ramya Raj</t>
  </si>
  <si>
    <t>STU0025</t>
  </si>
  <si>
    <t>Akash Devi</t>
  </si>
  <si>
    <t>STU0026</t>
  </si>
  <si>
    <t>Aishwarya Priya</t>
  </si>
  <si>
    <t>STU0027</t>
  </si>
  <si>
    <t>Ramya Sharma</t>
  </si>
  <si>
    <t>STU0028</t>
  </si>
  <si>
    <t>STU0029</t>
  </si>
  <si>
    <t>STU0030</t>
  </si>
  <si>
    <t>Nandhini Kumar</t>
  </si>
  <si>
    <t>STU0031</t>
  </si>
  <si>
    <t>Ramya Devi</t>
  </si>
  <si>
    <t>STU0032</t>
  </si>
  <si>
    <t>Surya Rani</t>
  </si>
  <si>
    <t>STU0033</t>
  </si>
  <si>
    <t>Rohit Priya</t>
  </si>
  <si>
    <t>STU0034</t>
  </si>
  <si>
    <t>Swetha Sharma</t>
  </si>
  <si>
    <t>STU0035</t>
  </si>
  <si>
    <t>STU0036</t>
  </si>
  <si>
    <t>Surya Raj</t>
  </si>
  <si>
    <t>Madurai</t>
  </si>
  <si>
    <t>STU0037</t>
  </si>
  <si>
    <t>Yamuna Kumar</t>
  </si>
  <si>
    <t>STU0038</t>
  </si>
  <si>
    <t>STU0039</t>
  </si>
  <si>
    <t>Pavithra Priya</t>
  </si>
  <si>
    <t>STU0040</t>
  </si>
  <si>
    <t>Meena Sharma</t>
  </si>
  <si>
    <t>STU0041</t>
  </si>
  <si>
    <t>Yamuna Sharma</t>
  </si>
  <si>
    <t>STU0042</t>
  </si>
  <si>
    <t>Swetha Kumar</t>
  </si>
  <si>
    <t>STU0043</t>
  </si>
  <si>
    <t>Harini Priya</t>
  </si>
  <si>
    <t>STU0044</t>
  </si>
  <si>
    <t>Aishwarya Sharma</t>
  </si>
  <si>
    <t>STU0045</t>
  </si>
  <si>
    <t>Nandhini Sharma</t>
  </si>
  <si>
    <t>STU0046</t>
  </si>
  <si>
    <t>Manoj Sharma</t>
  </si>
  <si>
    <t>STU0047</t>
  </si>
  <si>
    <t>Ashwin Sharma</t>
  </si>
  <si>
    <t>STU0048</t>
  </si>
  <si>
    <t>Harish Rani</t>
  </si>
  <si>
    <t>STU0049</t>
  </si>
  <si>
    <t>Rakesh Raj</t>
  </si>
  <si>
    <t>STU0050</t>
  </si>
  <si>
    <t>Vignesh Priya</t>
  </si>
  <si>
    <t>STU0051</t>
  </si>
  <si>
    <t>Rahul Rani</t>
  </si>
  <si>
    <t>STU0052</t>
  </si>
  <si>
    <t>Pranav Sharma</t>
  </si>
  <si>
    <t>STU0053</t>
  </si>
  <si>
    <t>STU0054</t>
  </si>
  <si>
    <t>STU0055</t>
  </si>
  <si>
    <t>Vaishnavi Kumar</t>
  </si>
  <si>
    <t>STU0056</t>
  </si>
  <si>
    <t>Rohit Kumar</t>
  </si>
  <si>
    <t>STU0057</t>
  </si>
  <si>
    <t>Lavanya Rani</t>
  </si>
  <si>
    <t>STU0058</t>
  </si>
  <si>
    <t>Ananya Raj</t>
  </si>
  <si>
    <t>STU0059</t>
  </si>
  <si>
    <t>Deepika Devi</t>
  </si>
  <si>
    <t>STU0060</t>
  </si>
  <si>
    <t>Rohit Sharma</t>
  </si>
  <si>
    <t>STU0061</t>
  </si>
  <si>
    <t>Aarav Raj</t>
  </si>
  <si>
    <t>STU0062</t>
  </si>
  <si>
    <t>Pranav Priya</t>
  </si>
  <si>
    <t>STU0063</t>
  </si>
  <si>
    <t>Aishwarya Raj</t>
  </si>
  <si>
    <t>STU0064</t>
  </si>
  <si>
    <t>Keerthana Raj</t>
  </si>
  <si>
    <t>STU0065</t>
  </si>
  <si>
    <t>Ananya Rani</t>
  </si>
  <si>
    <t>STU0066</t>
  </si>
  <si>
    <t>STU0067</t>
  </si>
  <si>
    <t>Naveen Sharma</t>
  </si>
  <si>
    <t>STU0068</t>
  </si>
  <si>
    <t>Aditya Raj</t>
  </si>
  <si>
    <t>STU0069</t>
  </si>
  <si>
    <t>Reshma Devi</t>
  </si>
  <si>
    <t>STU0070</t>
  </si>
  <si>
    <t>STU0071</t>
  </si>
  <si>
    <t>Pranav Devi</t>
  </si>
  <si>
    <t>STU0072</t>
  </si>
  <si>
    <t>Lavanya Kumar</t>
  </si>
  <si>
    <t>STU0073</t>
  </si>
  <si>
    <t>Anjali Kumar</t>
  </si>
  <si>
    <t>STU0074</t>
  </si>
  <si>
    <t>Sahana Priya</t>
  </si>
  <si>
    <t>STU0075</t>
  </si>
  <si>
    <t>Ananya Priya</t>
  </si>
  <si>
    <t>STU0076</t>
  </si>
  <si>
    <t>Gokul Rani</t>
  </si>
  <si>
    <t>STU0077</t>
  </si>
  <si>
    <t>STU0078</t>
  </si>
  <si>
    <t>Yamuna Priya</t>
  </si>
  <si>
    <t>STU0079</t>
  </si>
  <si>
    <t>Surya Kumar</t>
  </si>
  <si>
    <t>STU0080</t>
  </si>
  <si>
    <t>STU0081</t>
  </si>
  <si>
    <t>Keerthana Rani</t>
  </si>
  <si>
    <t>STU0082</t>
  </si>
  <si>
    <t>STU0083</t>
  </si>
  <si>
    <t>Sahana Devi</t>
  </si>
  <si>
    <t>STU0084</t>
  </si>
  <si>
    <t>Shreya Rani</t>
  </si>
  <si>
    <t>STU0085</t>
  </si>
  <si>
    <t>Anjali Rani</t>
  </si>
  <si>
    <t>STU0086</t>
  </si>
  <si>
    <t>Sanjay Devi</t>
  </si>
  <si>
    <t>STU0087</t>
  </si>
  <si>
    <t>Ashwin Kumar</t>
  </si>
  <si>
    <t>STU0088</t>
  </si>
  <si>
    <t>Surya Priya</t>
  </si>
  <si>
    <t>STU0089</t>
  </si>
  <si>
    <t>Sneha Sharma</t>
  </si>
  <si>
    <t>STU0090</t>
  </si>
  <si>
    <t>Rakesh Kumar</t>
  </si>
  <si>
    <t>STU0091</t>
  </si>
  <si>
    <t>Lavanya Priya</t>
  </si>
  <si>
    <t>STU0092</t>
  </si>
  <si>
    <t>STU0093</t>
  </si>
  <si>
    <t>Arjun Raj</t>
  </si>
  <si>
    <t>STU0094</t>
  </si>
  <si>
    <t>Bharath Priya</t>
  </si>
  <si>
    <t>STU0095</t>
  </si>
  <si>
    <t>Krishna Raj</t>
  </si>
  <si>
    <t>STU0096</t>
  </si>
  <si>
    <t>Swetha Priya</t>
  </si>
  <si>
    <t>STU0097</t>
  </si>
  <si>
    <t>STU0098</t>
  </si>
  <si>
    <t>Rohit Raj</t>
  </si>
  <si>
    <t>STU0099</t>
  </si>
  <si>
    <t>STU0100</t>
  </si>
  <si>
    <t>Priya Raj</t>
  </si>
  <si>
    <t>STU0101</t>
  </si>
  <si>
    <t>Keerthana Kumar</t>
  </si>
  <si>
    <t>STU0102</t>
  </si>
  <si>
    <t>STU0103</t>
  </si>
  <si>
    <t>Bharath Sharma</t>
  </si>
  <si>
    <t>STU0104</t>
  </si>
  <si>
    <t>STU0105</t>
  </si>
  <si>
    <t>STU0106</t>
  </si>
  <si>
    <t>Gokul Kumar</t>
  </si>
  <si>
    <t>STU0107</t>
  </si>
  <si>
    <t>STU0108</t>
  </si>
  <si>
    <t>Aditya Priya</t>
  </si>
  <si>
    <t>STU0109</t>
  </si>
  <si>
    <t>Naveen Devi</t>
  </si>
  <si>
    <t>STU0110</t>
  </si>
  <si>
    <t>STU0111</t>
  </si>
  <si>
    <t>STU0112</t>
  </si>
  <si>
    <t>STU0113</t>
  </si>
  <si>
    <t>STU0114</t>
  </si>
  <si>
    <t>STU0115</t>
  </si>
  <si>
    <t>STU0116</t>
  </si>
  <si>
    <t>Rakesh Sharma</t>
  </si>
  <si>
    <t>STU0117</t>
  </si>
  <si>
    <t>Deepika Kumar</t>
  </si>
  <si>
    <t>STU0118</t>
  </si>
  <si>
    <t>STU0119</t>
  </si>
  <si>
    <t>Krishna Rani</t>
  </si>
  <si>
    <t>STU0120</t>
  </si>
  <si>
    <t>STU0121</t>
  </si>
  <si>
    <t>STU0122</t>
  </si>
  <si>
    <t>Rakesh Rani</t>
  </si>
  <si>
    <t>STU0123</t>
  </si>
  <si>
    <t>STU0124</t>
  </si>
  <si>
    <t>Yamuna Devi</t>
  </si>
  <si>
    <t>STU0125</t>
  </si>
  <si>
    <t>Dinesh Rani</t>
  </si>
  <si>
    <t>STU0126</t>
  </si>
  <si>
    <t>Vaishnavi Raj</t>
  </si>
  <si>
    <t>STU0127</t>
  </si>
  <si>
    <t>Anjali Priya</t>
  </si>
  <si>
    <t>STU0128</t>
  </si>
  <si>
    <t>Priya Rani</t>
  </si>
  <si>
    <t>STU0129</t>
  </si>
  <si>
    <t>STU0130</t>
  </si>
  <si>
    <t>STU0131</t>
  </si>
  <si>
    <t>Anjali Devi</t>
  </si>
  <si>
    <t>STU0132</t>
  </si>
  <si>
    <t>STU0133</t>
  </si>
  <si>
    <t>Karthik Rani</t>
  </si>
  <si>
    <t>STU0134</t>
  </si>
  <si>
    <t>STU0135</t>
  </si>
  <si>
    <t>Ananya Kumar</t>
  </si>
  <si>
    <t>STU0136</t>
  </si>
  <si>
    <t>STU0137</t>
  </si>
  <si>
    <t>Vignesh Rani</t>
  </si>
  <si>
    <t>STU0138</t>
  </si>
  <si>
    <t>STU0139</t>
  </si>
  <si>
    <t>Krishna Devi</t>
  </si>
  <si>
    <t>STU0140</t>
  </si>
  <si>
    <t>STU0141</t>
  </si>
  <si>
    <t>Aishwarya Rani</t>
  </si>
  <si>
    <t>STU0142</t>
  </si>
  <si>
    <t>STU0143</t>
  </si>
  <si>
    <t>STU0144</t>
  </si>
  <si>
    <t>Karthik Priya</t>
  </si>
  <si>
    <t>STU0145</t>
  </si>
  <si>
    <t>STU0146</t>
  </si>
  <si>
    <t>Rahul Raj</t>
  </si>
  <si>
    <t>STU0147</t>
  </si>
  <si>
    <t>Sneha Kumar</t>
  </si>
  <si>
    <t>STU0148</t>
  </si>
  <si>
    <t>STU0149</t>
  </si>
  <si>
    <t>Aditya Kumar</t>
  </si>
  <si>
    <t>STU0150</t>
  </si>
  <si>
    <t>Naveen Kumar</t>
  </si>
  <si>
    <t>STU0151</t>
  </si>
  <si>
    <t>Ramya Kumar</t>
  </si>
  <si>
    <t>STU0152</t>
  </si>
  <si>
    <t>STU0153</t>
  </si>
  <si>
    <t>Harini Sharma</t>
  </si>
  <si>
    <t>STU0154</t>
  </si>
  <si>
    <t>Naveen Raj</t>
  </si>
  <si>
    <t>STU0155</t>
  </si>
  <si>
    <t>STU0156</t>
  </si>
  <si>
    <t>STU0157</t>
  </si>
  <si>
    <t>Sanjay Kumar</t>
  </si>
  <si>
    <t>STU0158</t>
  </si>
  <si>
    <t>Pranav Rani</t>
  </si>
  <si>
    <t>STU0159</t>
  </si>
  <si>
    <t>Pavithra Kumar</t>
  </si>
  <si>
    <t>STU0160</t>
  </si>
  <si>
    <t>STU0161</t>
  </si>
  <si>
    <t>Lavanya Sharma</t>
  </si>
  <si>
    <t>STU0162</t>
  </si>
  <si>
    <t>Keerthana Sharma</t>
  </si>
  <si>
    <t>STU0163</t>
  </si>
  <si>
    <t>STU0164</t>
  </si>
  <si>
    <t>STU0165</t>
  </si>
  <si>
    <t>Nandhini Rani</t>
  </si>
  <si>
    <t>STU0166</t>
  </si>
  <si>
    <t>Karthik Raj</t>
  </si>
  <si>
    <t>STU0167</t>
  </si>
  <si>
    <t>STU0168</t>
  </si>
  <si>
    <t>STU0169</t>
  </si>
  <si>
    <t>STU0170</t>
  </si>
  <si>
    <t>STU0171</t>
  </si>
  <si>
    <t>Sanjay Rani</t>
  </si>
  <si>
    <t>STU0172</t>
  </si>
  <si>
    <t>STU0173</t>
  </si>
  <si>
    <t>Meena Devi</t>
  </si>
  <si>
    <t>STU0174</t>
  </si>
  <si>
    <t>STU0175</t>
  </si>
  <si>
    <t>STU0176</t>
  </si>
  <si>
    <t>Divya Devi</t>
  </si>
  <si>
    <t>STU0177</t>
  </si>
  <si>
    <t>STU0178</t>
  </si>
  <si>
    <t>Sahana Rani</t>
  </si>
  <si>
    <t>STU0179</t>
  </si>
  <si>
    <t>STU0180</t>
  </si>
  <si>
    <t>Ashwin Devi</t>
  </si>
  <si>
    <t>STU0181</t>
  </si>
  <si>
    <t>STU0182</t>
  </si>
  <si>
    <t>STU0183</t>
  </si>
  <si>
    <t>Aarav Priya</t>
  </si>
  <si>
    <t>STU0184</t>
  </si>
  <si>
    <t>Bharath Rani</t>
  </si>
  <si>
    <t>STU0185</t>
  </si>
  <si>
    <t>STU0186</t>
  </si>
  <si>
    <t>STU0187</t>
  </si>
  <si>
    <t>STU0188</t>
  </si>
  <si>
    <t>Harish Kumar</t>
  </si>
  <si>
    <t>STU0189</t>
  </si>
  <si>
    <t>STU0190</t>
  </si>
  <si>
    <t>STU0191</t>
  </si>
  <si>
    <t>Arjun Sharma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</si>
  <si>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</si>
  <si>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</si>
  <si>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</si>
  <si>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</si>
  <si>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</si>
  <si>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</si>
  <si>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</si>
  <si>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</si>
  <si>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Swetha Devi</t>
  </si>
  <si>
    <t>STU0200</t>
  </si>
  <si>
    <t>STU0201</t>
  </si>
  <si>
    <t>Manoj Priya</t>
  </si>
  <si>
    <t>STU0202</t>
  </si>
  <si>
    <t>STU0203</t>
  </si>
  <si>
    <t>STU0204</t>
  </si>
  <si>
    <t>Reshma Sharma</t>
  </si>
  <si>
    <t>STU0205</t>
  </si>
  <si>
    <t>STU0206</t>
  </si>
  <si>
    <t>STU0207</t>
  </si>
  <si>
    <t>Ananya Sharma</t>
  </si>
  <si>
    <t>STU0208</t>
  </si>
  <si>
    <t>Pavithra Rani</t>
  </si>
  <si>
    <t>STU0209</t>
  </si>
  <si>
    <t>Aishwarya Devi</t>
  </si>
  <si>
    <t>STU0210</t>
  </si>
  <si>
    <t>Akash Raj</t>
  </si>
  <si>
    <t>STU0211</t>
  </si>
  <si>
    <t>Akash Sharma</t>
  </si>
  <si>
    <t>STU0212</t>
  </si>
  <si>
    <t>STU0213</t>
  </si>
  <si>
    <t>STU0214</t>
  </si>
  <si>
    <t>Aarav Kumar</t>
  </si>
  <si>
    <t>STU0215</t>
  </si>
  <si>
    <t>STU0216</t>
  </si>
  <si>
    <t>Karthik Sharma</t>
  </si>
  <si>
    <t>STU0217</t>
  </si>
  <si>
    <t>STU0218</t>
  </si>
  <si>
    <t>STU0219</t>
  </si>
  <si>
    <t>STU0220</t>
  </si>
  <si>
    <t>STU0221</t>
  </si>
  <si>
    <t>Arjun Devi</t>
  </si>
  <si>
    <t>STU0222</t>
  </si>
  <si>
    <t>STU0223</t>
  </si>
  <si>
    <t>STU0224</t>
  </si>
  <si>
    <t>STU0225</t>
  </si>
  <si>
    <t>STU0226</t>
  </si>
  <si>
    <t>Harish Devi</t>
  </si>
  <si>
    <t>STU0227</t>
  </si>
  <si>
    <t>Divya Sharma</t>
  </si>
  <si>
    <t>STU0228</t>
  </si>
  <si>
    <t>Sanjay Sharma</t>
  </si>
  <si>
    <t>STU0229</t>
  </si>
  <si>
    <t>Harini Rani</t>
  </si>
  <si>
    <t>STU0230</t>
  </si>
  <si>
    <t>STU0231</t>
  </si>
  <si>
    <t>STU0232</t>
  </si>
  <si>
    <t>Dinesh Raj</t>
  </si>
  <si>
    <t>STU0233</t>
  </si>
  <si>
    <t>STU0234</t>
  </si>
  <si>
    <t>Shreya Priya</t>
  </si>
  <si>
    <t>STU0235</t>
  </si>
  <si>
    <t>STU0236</t>
  </si>
  <si>
    <t>Shreya Sharma</t>
  </si>
  <si>
    <t>STU0237</t>
  </si>
  <si>
    <t>Sahana Raj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</si>
  <si>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</si>
  <si>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</si>
  <si>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</si>
  <si>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</si>
  <si>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</si>
  <si>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</si>
  <si>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</si>
  <si>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</si>
  <si>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</si>
  <si>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Rahul Devi</t>
  </si>
  <si>
    <t>STU0247</t>
  </si>
  <si>
    <t>STU0248</t>
  </si>
  <si>
    <t>STU0249</t>
  </si>
  <si>
    <t>STU0250</t>
  </si>
  <si>
    <t>STU0251</t>
  </si>
  <si>
    <t>Pavithra Devi</t>
  </si>
  <si>
    <t>STU0252</t>
  </si>
  <si>
    <t>STU0253</t>
  </si>
  <si>
    <t>STU0254</t>
  </si>
  <si>
    <t>STU0255</t>
  </si>
  <si>
    <t>STU0256</t>
  </si>
  <si>
    <t>Pavithra Raj</t>
  </si>
  <si>
    <t>STU0257</t>
  </si>
  <si>
    <t>STU0258</t>
  </si>
  <si>
    <t>Anjali Sharma</t>
  </si>
  <si>
    <t>STU0259</t>
  </si>
  <si>
    <t>Bharath Raj</t>
  </si>
  <si>
    <t>STU0260</t>
  </si>
  <si>
    <t>Rakesh Devi</t>
  </si>
  <si>
    <t>STU0261</t>
  </si>
  <si>
    <t>STU0262</t>
  </si>
  <si>
    <t>Dinesh Kumar</t>
  </si>
  <si>
    <t>STU0263</t>
  </si>
  <si>
    <t>STU0264</t>
  </si>
  <si>
    <t>Manoj Rani</t>
  </si>
  <si>
    <t>STU0265</t>
  </si>
  <si>
    <t>STU0266</t>
  </si>
  <si>
    <t>STU0267</t>
  </si>
  <si>
    <t>Shreya Raj</t>
  </si>
  <si>
    <t>STU0268</t>
  </si>
  <si>
    <t>STU0269</t>
  </si>
  <si>
    <t>STU0270</t>
  </si>
  <si>
    <t>STU0271</t>
  </si>
  <si>
    <t>STU0272</t>
  </si>
  <si>
    <t>Meena Rani</t>
  </si>
  <si>
    <t>STU0273</t>
  </si>
  <si>
    <t>Sneha Rani</t>
  </si>
  <si>
    <t>STU0274</t>
  </si>
  <si>
    <t>Deepika Rani</t>
  </si>
  <si>
    <t>STU0275</t>
  </si>
  <si>
    <t>STU0276</t>
  </si>
  <si>
    <t>STU0277</t>
  </si>
  <si>
    <t>STU0278</t>
  </si>
  <si>
    <t>Harini Devi</t>
  </si>
  <si>
    <t>STU0279</t>
  </si>
  <si>
    <t>STU0280</t>
  </si>
  <si>
    <t>STU0281</t>
  </si>
  <si>
    <t>STU0282</t>
  </si>
  <si>
    <t>STU0283</t>
  </si>
  <si>
    <t>Bharath Kumar</t>
  </si>
  <si>
    <t>STU0284</t>
  </si>
  <si>
    <t>STU0285</t>
  </si>
  <si>
    <t>Akash Priya</t>
  </si>
  <si>
    <t>STU0286</t>
  </si>
  <si>
    <t>STU0287</t>
  </si>
  <si>
    <t>STU0288</t>
  </si>
  <si>
    <t>Manoj Kumar</t>
  </si>
  <si>
    <t>STU0289</t>
  </si>
  <si>
    <t>Vignesh Raj</t>
  </si>
  <si>
    <t>STU0290</t>
  </si>
  <si>
    <t>STU0291</t>
  </si>
  <si>
    <t>STU0292</t>
  </si>
  <si>
    <t>Akash Kumar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</si>
  <si>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</si>
  <si>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</si>
  <si>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</si>
  <si>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</si>
  <si>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</si>
  <si>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</si>
  <si>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</si>
  <si>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</si>
  <si>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</si>
  <si>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</si>
  <si>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</si>
  <si>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</si>
  <si>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Akash Rani</t>
  </si>
  <si>
    <t>STU0305</t>
  </si>
  <si>
    <t>STU0306</t>
  </si>
  <si>
    <t>STU0307</t>
  </si>
  <si>
    <t>Ramya Rani</t>
  </si>
  <si>
    <t>STU0308</t>
  </si>
  <si>
    <t>STU0309</t>
  </si>
  <si>
    <t>STU0310</t>
  </si>
  <si>
    <t>STU0311</t>
  </si>
  <si>
    <t>STU0312</t>
  </si>
  <si>
    <t>Nandhini Raj</t>
  </si>
  <si>
    <t>STU0313</t>
  </si>
  <si>
    <t>STU0314</t>
  </si>
  <si>
    <t>STU0315</t>
  </si>
  <si>
    <t>STU0316</t>
  </si>
  <si>
    <t>STU0317</t>
  </si>
  <si>
    <t>Shreya Devi</t>
  </si>
  <si>
    <t>STU0318</t>
  </si>
  <si>
    <t>STU0319</t>
  </si>
  <si>
    <t>STU0320</t>
  </si>
  <si>
    <t>STU0321</t>
  </si>
  <si>
    <t>STU0322</t>
  </si>
  <si>
    <t>STU0323</t>
  </si>
  <si>
    <t>Keerthana Devi</t>
  </si>
  <si>
    <t>STU0324</t>
  </si>
  <si>
    <t>STU0325</t>
  </si>
  <si>
    <t>STU0326</t>
  </si>
  <si>
    <t>Gokul Devi</t>
  </si>
  <si>
    <t>STU0327</t>
  </si>
  <si>
    <t>Naveen Priya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</si>
  <si>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</si>
  <si>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</si>
  <si>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</si>
  <si>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</si>
  <si>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</si>
  <si>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</si>
  <si>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</si>
  <si>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</si>
  <si>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</si>
  <si>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Surya Devi</t>
  </si>
  <si>
    <t>STU0337</t>
  </si>
  <si>
    <t>STU0338</t>
  </si>
  <si>
    <t>STU0339</t>
  </si>
  <si>
    <t>STU0340</t>
  </si>
  <si>
    <t>STU0341</t>
  </si>
  <si>
    <t>STU0342</t>
  </si>
  <si>
    <t>STU0343</t>
  </si>
  <si>
    <t>Divya Rani</t>
  </si>
  <si>
    <t>STU0344</t>
  </si>
  <si>
    <t>STU0345</t>
  </si>
  <si>
    <t>STU0346</t>
  </si>
  <si>
    <t>STU0347</t>
  </si>
  <si>
    <t>STU0348</t>
  </si>
  <si>
    <t>Reshma Rani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</si>
  <si>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</si>
  <si>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</si>
  <si>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</si>
  <si>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</si>
  <si>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</si>
  <si>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</si>
  <si>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</si>
  <si>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</si>
  <si>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</si>
  <si>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</si>
  <si>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Pranav Kumar</t>
  </si>
  <si>
    <t>STU0359</t>
  </si>
  <si>
    <t>Divya Raj</t>
  </si>
  <si>
    <t>STU0360</t>
  </si>
  <si>
    <t>Harish Priya</t>
  </si>
  <si>
    <t>STU0361</t>
  </si>
  <si>
    <t>STU0362</t>
  </si>
  <si>
    <t>STU0363</t>
  </si>
  <si>
    <t>Reshma Raj</t>
  </si>
  <si>
    <t>STU0364</t>
  </si>
  <si>
    <t>STU0365</t>
  </si>
  <si>
    <t>STU0366</t>
  </si>
  <si>
    <t>STU0367</t>
  </si>
  <si>
    <t>STU0368</t>
  </si>
  <si>
    <t>STU0369</t>
  </si>
  <si>
    <t>Priya Sharma</t>
  </si>
  <si>
    <t>STU0370</t>
  </si>
  <si>
    <t>STU0371</t>
  </si>
  <si>
    <t>STU0372</t>
  </si>
  <si>
    <t>STU0373</t>
  </si>
  <si>
    <t>Rohit Devi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</si>
  <si>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</si>
  <si>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</si>
  <si>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</si>
  <si>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</si>
  <si>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</si>
  <si>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</si>
  <si>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</si>
  <si>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</si>
  <si>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Aditya Sharma</t>
  </si>
  <si>
    <t>STU0382</t>
  </si>
  <si>
    <t>STU0383</t>
  </si>
  <si>
    <t>STU0384</t>
  </si>
  <si>
    <t>STU0385</t>
  </si>
  <si>
    <t>Yamuna Raj</t>
  </si>
  <si>
    <t>STU0386</t>
  </si>
  <si>
    <t>STU0387</t>
  </si>
  <si>
    <t>STU0388</t>
  </si>
  <si>
    <t>STU0389</t>
  </si>
  <si>
    <t>Ananya Devi</t>
  </si>
  <si>
    <t>STU0390</t>
  </si>
  <si>
    <t>STU0391</t>
  </si>
  <si>
    <t>STU0392</t>
  </si>
  <si>
    <t>STU0393</t>
  </si>
  <si>
    <t>STU0394</t>
  </si>
  <si>
    <t>STU0395</t>
  </si>
  <si>
    <t>STU0396</t>
  </si>
  <si>
    <t>Gokul Sharma</t>
  </si>
  <si>
    <t>STU0397</t>
  </si>
  <si>
    <t>STU0398</t>
  </si>
  <si>
    <t>STU0399</t>
  </si>
  <si>
    <t>STU0400</t>
  </si>
  <si>
    <t>Sneha Priya</t>
  </si>
  <si>
    <t>STU0401</t>
  </si>
  <si>
    <t>STU0402</t>
  </si>
  <si>
    <t>Yamuna Rani</t>
  </si>
  <si>
    <t>STU0403</t>
  </si>
  <si>
    <t>STU0404</t>
  </si>
  <si>
    <t>Ashwin Raj</t>
  </si>
  <si>
    <t>STU0405</t>
  </si>
  <si>
    <t>STU0406</t>
  </si>
  <si>
    <t>STU0407</t>
  </si>
  <si>
    <t>STU0408</t>
  </si>
  <si>
    <t>Aarav Devi</t>
  </si>
  <si>
    <t>STU0409</t>
  </si>
  <si>
    <t>Deepika Sharma</t>
  </si>
  <si>
    <t>STU0410</t>
  </si>
  <si>
    <t>STU0411</t>
  </si>
  <si>
    <t>STU0412</t>
  </si>
  <si>
    <t>STU0413</t>
  </si>
  <si>
    <t>STU0414</t>
  </si>
  <si>
    <t>STU0415</t>
  </si>
  <si>
    <t>STU0416</t>
  </si>
  <si>
    <t>Sneha Raj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</si>
  <si>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</si>
  <si>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</si>
  <si>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</si>
  <si>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</si>
  <si>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</si>
  <si>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</si>
  <si>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</si>
  <si>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</si>
  <si>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</si>
  <si>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</si>
  <si>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</si>
  <si>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Sanjay Priya</t>
  </si>
  <si>
    <t>STU0428</t>
  </si>
  <si>
    <t>Vaishnavi Priya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</si>
  <si>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</si>
  <si>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</si>
  <si>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</si>
  <si>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</si>
  <si>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</si>
  <si>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</si>
  <si>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</si>
  <si>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</si>
  <si>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</si>
  <si>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Sahana Kumar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</si>
  <si>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</si>
  <si>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</si>
  <si>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</si>
  <si>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</si>
  <si>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</si>
  <si>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</si>
  <si>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</si>
  <si>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</si>
  <si>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</si>
  <si>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</si>
  <si>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Dinesh Priya</t>
  </si>
  <si>
    <t>STU0448</t>
  </si>
  <si>
    <t>STU0449</t>
  </si>
  <si>
    <t>Divya Priya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</si>
  <si>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</si>
  <si>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</si>
  <si>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</si>
  <si>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</si>
  <si>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</si>
  <si>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</si>
  <si>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</si>
  <si>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</si>
  <si>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</si>
  <si>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</si>
  <si>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</si>
  <si>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Divya Kumar</t>
  </si>
  <si>
    <t>STU0461</t>
  </si>
  <si>
    <t>Arjun Priya</t>
  </si>
  <si>
    <t>STU0462</t>
  </si>
  <si>
    <t>STU0463</t>
  </si>
  <si>
    <t>STU0464</t>
  </si>
  <si>
    <t>STU0465</t>
  </si>
  <si>
    <t>Sanjay Raj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</si>
  <si>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</si>
  <si>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</si>
  <si>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</si>
  <si>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</si>
  <si>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</si>
  <si>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</si>
  <si>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</si>
  <si>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</si>
  <si>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</si>
  <si>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</si>
  <si>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</si>
  <si>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</si>
  <si>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</si>
  <si>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</si>
  <si>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</si>
  <si>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</si>
  <si>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</si>
  <si>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</si>
  <si>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</si>
  <si>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</si>
  <si>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</si>
  <si>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</si>
  <si>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Bharath Devi</t>
  </si>
  <si>
    <t>STU0488</t>
  </si>
  <si>
    <t>STU0489</t>
  </si>
  <si>
    <t>Ashwin Rani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</si>
  <si>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</si>
  <si>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</si>
  <si>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</si>
  <si>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</si>
  <si>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</si>
  <si>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</si>
  <si>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</si>
  <si>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</si>
  <si>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</si>
  <si>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</si>
  <si>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Lavanya Raj</t>
  </si>
  <si>
    <t>STU0500</t>
  </si>
  <si>
    <t>STU0501</t>
  </si>
  <si>
    <t>STU0502</t>
  </si>
  <si>
    <t>STU0503</t>
  </si>
  <si>
    <t>STU0504</t>
  </si>
  <si>
    <t>STU0505</t>
  </si>
  <si>
    <t>STU0506</t>
  </si>
  <si>
    <t>STU0507</t>
  </si>
  <si>
    <t>STU0508</t>
  </si>
  <si>
    <t>STU0509</t>
  </si>
  <si>
    <t>STU0510</t>
  </si>
  <si>
    <t>STU0511</t>
  </si>
  <si>
    <t>STU0512</t>
  </si>
  <si>
    <t>STU0513</t>
  </si>
  <si>
    <t>STU0514</t>
  </si>
  <si>
    <t>STU0515</t>
  </si>
  <si>
    <t>STU0516</t>
  </si>
  <si>
    <t>STU0517</t>
  </si>
  <si>
    <t>Meena Priya</t>
  </si>
  <si>
    <t>STU0518</t>
  </si>
  <si>
    <t>STU0519</t>
  </si>
  <si>
    <t>STU0520</t>
  </si>
  <si>
    <t>STU0521</t>
  </si>
  <si>
    <t>Meena Kumar</t>
  </si>
  <si>
    <t>STU0522</t>
  </si>
  <si>
    <t>STU0523</t>
  </si>
  <si>
    <t>STU0524</t>
  </si>
  <si>
    <t>STU0525</t>
  </si>
  <si>
    <t>STU0526</t>
  </si>
  <si>
    <t>STU0527</t>
  </si>
  <si>
    <t>Reshma Priya</t>
  </si>
  <si>
    <t>STU0528</t>
  </si>
  <si>
    <t>STU0529</t>
  </si>
  <si>
    <t>Vaishnavi Sharma</t>
  </si>
  <si>
    <t>STU0530</t>
  </si>
  <si>
    <t>STU0531</t>
  </si>
  <si>
    <t>STU0532</t>
  </si>
  <si>
    <t>STU0533</t>
  </si>
  <si>
    <t>STU0534</t>
  </si>
  <si>
    <t>Karthik Kumar</t>
  </si>
  <si>
    <t>STU0535</t>
  </si>
  <si>
    <t>STU0536</t>
  </si>
  <si>
    <t>STU0537</t>
  </si>
  <si>
    <t>STU0538</t>
  </si>
  <si>
    <t>STU0539</t>
  </si>
  <si>
    <t>STU0540</t>
  </si>
  <si>
    <t>STU0541</t>
  </si>
  <si>
    <t>STU0542</t>
  </si>
  <si>
    <t>STU0543</t>
  </si>
  <si>
    <t>STU0544</t>
  </si>
  <si>
    <t>Gokul Raj</t>
  </si>
  <si>
    <t>STU0545</t>
  </si>
  <si>
    <t>STU0546</t>
  </si>
  <si>
    <t>STU0547</t>
  </si>
  <si>
    <t>STU0548</t>
  </si>
  <si>
    <t>STU0549</t>
  </si>
  <si>
    <t>STU0550</t>
  </si>
  <si>
    <t>STU0551</t>
  </si>
  <si>
    <t>STU0552</t>
  </si>
  <si>
    <t>STU0553</t>
  </si>
  <si>
    <t>STU0554</t>
  </si>
  <si>
    <t>STU0555</t>
  </si>
  <si>
    <t>STU0556</t>
  </si>
  <si>
    <t>STU0557</t>
  </si>
  <si>
    <t>STU0558</t>
  </si>
  <si>
    <t>Harini Kumar</t>
  </si>
  <si>
    <t>STU0559</t>
  </si>
  <si>
    <t>STU0560</t>
  </si>
  <si>
    <t>STU0561</t>
  </si>
  <si>
    <t>STU0562</t>
  </si>
  <si>
    <t>STU0563</t>
  </si>
  <si>
    <t>STU0564</t>
  </si>
  <si>
    <t>STU0565</t>
  </si>
  <si>
    <t>STU0566</t>
  </si>
  <si>
    <t>STU0567</t>
  </si>
  <si>
    <t>STU0568</t>
  </si>
  <si>
    <t>STU0569</t>
  </si>
  <si>
    <t>STU0570</t>
  </si>
  <si>
    <t>STU0571</t>
  </si>
  <si>
    <t>STU0572</t>
  </si>
  <si>
    <t>STU0573</t>
  </si>
  <si>
    <t>STU0574</t>
  </si>
  <si>
    <t>STU0575</t>
  </si>
  <si>
    <t>STU0576</t>
  </si>
  <si>
    <t>STU0577</t>
  </si>
  <si>
    <t>STU0578</t>
  </si>
  <si>
    <t>STU0579</t>
  </si>
  <si>
    <t>Vaishnavi Rani</t>
  </si>
  <si>
    <t>STU0580</t>
  </si>
  <si>
    <t>Aarav Sharma</t>
  </si>
  <si>
    <t>STU0581</t>
  </si>
  <si>
    <t>Swetha Raj</t>
  </si>
  <si>
    <t>STU0582</t>
  </si>
  <si>
    <t>STU0583</t>
  </si>
  <si>
    <t>STU0584</t>
  </si>
  <si>
    <t>STU0585</t>
  </si>
  <si>
    <t>STU0586</t>
  </si>
  <si>
    <t>STU0587</t>
  </si>
  <si>
    <t>STU0588</t>
  </si>
  <si>
    <t>STU0589</t>
  </si>
  <si>
    <t>STU0590</t>
  </si>
  <si>
    <t>STU0591</t>
  </si>
  <si>
    <t>Krishna Sharma</t>
  </si>
  <si>
    <t>STU0592</t>
  </si>
  <si>
    <t>STU0593</t>
  </si>
  <si>
    <t>STU0594</t>
  </si>
  <si>
    <t>STU0595</t>
  </si>
  <si>
    <t>STU0596</t>
  </si>
  <si>
    <t>STU0597</t>
  </si>
  <si>
    <t>STU0598</t>
  </si>
  <si>
    <t>STU0599</t>
  </si>
  <si>
    <t>STU0600</t>
  </si>
  <si>
    <t>Distinct Count of Student</t>
  </si>
  <si>
    <t>Distinct Count of Department</t>
  </si>
  <si>
    <t>Average of Attendance Percentage</t>
  </si>
  <si>
    <t>Distinct Count of City</t>
  </si>
  <si>
    <t>Average Marks</t>
  </si>
  <si>
    <t>Average of Average_Marks</t>
  </si>
  <si>
    <t>Average of Attendance_Percentage</t>
  </si>
  <si>
    <t>Grand Total</t>
  </si>
  <si>
    <t>Average of Total Marks</t>
  </si>
  <si>
    <t>Average of Total_Marks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</si>
</sst>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 "/>
  </numFmts>
  <fonts count="27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0"/>
      <color theme="1"/>
      <name val="Arial"/>
      <charset val="134"/>
    </font>
    <font>
      <sz val="20"/>
      <color theme="1"/>
      <name val="Arial"/>
      <charset val="134"/>
    </font>
    <font>
      <b/>
      <sz val="11"/>
      <name val="Calibri"/>
      <charset val="0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5" borderId="1" xfId="0" applyFont="1" applyFill="1" applyBorder="1" applyAlignment="1"/>
    <xf numFmtId="0" fontId="0" fillId="6" borderId="1" xfId="0" applyFill="1" applyBorder="1">
      <alignment vertical="center"/>
    </xf>
    <xf numFmtId="0" fontId="5" fillId="0" borderId="1" xfId="0" applyFont="1" applyFill="1" applyBorder="1" applyAlignment="1">
      <alignment horizontal="center" vertical="top"/>
    </xf>
    <xf numFmtId="0" fontId="6" fillId="0" borderId="0" xfId="0" applyFont="1" applyFill="1" applyAlignment="1"/>
    <xf numFmtId="0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0" applyNumberFormat="1" applyAlignment="1">
      <alignment vertical="center" wrapText="1"/>
    </xf>
    <xf numFmtId="0" fontId="0" fillId="0" borderId="1" xfId="0" applyBorder="1">
      <alignment vertical="center"/>
    </xf>
    <xf numFmtId="0" fontId="7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5"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font>
        <name val="Calibri"/>
        <scheme val="minor"/>
        <family val="2"/>
      </font>
      <fill>
        <patternFill patternType="none"/>
      </fill>
    </dxf>
    <dxf>
      <numFmt numFmtId="0" formatCode="General"/>
    </dxf>
    <dxf>
      <numFmt numFmtId="180" formatCode="0_ 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bgColor rgb="FFFF0000"/>
        </patternFill>
      </fill>
    </dxf>
    <dxf>
      <fill>
        <gradientFill type="path" top="1" bottom="1">
          <stop position="0">
            <color rgb="FFFF0000"/>
          </stop>
          <stop position="1">
            <color theme="4"/>
          </stop>
        </gradientFill>
      </fill>
    </dxf>
    <dxf>
      <fill>
        <patternFill patternType="solid">
          <bgColor rgb="FFFFABAB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7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TableStylePreset4_Accent1" pivot="0" count="7" xr9:uid="{E80031A0-62FC-435E-9621-CFD856E535BA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Slicer Style 1" pivot="0" table="0" count="1" xr9:uid="{A11F9DB9-AF71-4C73-9735-083DEA9B6C73}">
      <tableStyleElement type="wholeTable" dxfId="31"/>
    </tableStyle>
    <tableStyle name="Slicer Style 2" pivot="0" table="0" count="1" xr9:uid="{10A7D79F-2144-4930-9C7B-4F7C4D535AA2}">
      <tableStyleElement type="wholeTable" dxfId="32"/>
    </tableStyle>
    <tableStyle name="Slicer Style 3" pivot="0" table="0" count="1" xr9:uid="{EC2E8920-BA78-4E7C-8226-BEBB2701C20F}">
      <tableStyleElement type="wholeTable" dxfId="33"/>
    </tableStyle>
    <tableStyle name="Slicer Style 4" pivot="0" table="0" count="1" xr9:uid="{F7F39BD5-3951-4EF1-9224-219070C39229}">
      <tableStyleElement type="wholeTable" dxfId="34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colors>
    <mruColors>
      <color rgb="00DA1DE1"/>
      <color rgb="00FF5D5D"/>
      <color rgb="00FFABAB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[Student_Performance_Dashboard.xlsx]Pivot and Chart!PivotTable1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and Chart'!$B$3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50800" dir="5400000" algn="ctr" rotWithShape="0">
                <a:srgbClr val="000000">
                  <a:alpha val="32000"/>
                </a:srgbClr>
              </a:outerShdw>
            </a:effectLst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50800" dist="50800" dir="5400000" algn="ctr" rotWithShape="0">
                  <a:srgbClr val="000000">
                    <a:alpha val="32000"/>
                  </a:srgb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50800" dist="50800" dir="5400000" algn="ctr" rotWithShape="0">
                  <a:srgbClr val="000000">
                    <a:alpha val="32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and Chart'!$A$4:$A$6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and Chart'!$B$4:$B$6</c:f>
              <c:numCache>
                <c:formatCode>General</c:formatCode>
                <c:ptCount val="2"/>
                <c:pt idx="0">
                  <c:v>64.8033112582782</c:v>
                </c:pt>
                <c:pt idx="1">
                  <c:v>62.9899328859061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1"/>
    </a:solidFill>
    <a:ln w="0" cap="flat" cmpd="sng" algn="ctr">
      <a:solidFill>
        <a:srgbClr val="7030A0"/>
      </a:solidFill>
      <a:round/>
    </a:ln>
    <a:effectLst>
      <a:outerShdw blurRad="50800" dist="38100" algn="tl" rotWithShape="0">
        <a:srgbClr val="7030A0">
          <a:alpha val="40000"/>
        </a:srgb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[Student_Performance_Dashboard.xlsx]Pivot and Chart!PivotTable2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and Chart'!$H$3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rgbClr val="7030A0"/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and Chart'!$G$4:$G$10</c:f>
              <c:strCache>
                <c:ptCount val="6"/>
                <c:pt idx="0">
                  <c:v>Business Administration</c:v>
                </c:pt>
                <c:pt idx="1">
                  <c:v>Commerce</c:v>
                </c:pt>
                <c:pt idx="2">
                  <c:v>Computer Science</c:v>
                </c:pt>
                <c:pt idx="3">
                  <c:v>Information Technology</c:v>
                </c:pt>
                <c:pt idx="4">
                  <c:v>Mathematics</c:v>
                </c:pt>
                <c:pt idx="5">
                  <c:v>Physics</c:v>
                </c:pt>
              </c:strCache>
            </c:strRef>
          </c:cat>
          <c:val>
            <c:numRef>
              <c:f>'Pivot and Chart'!$H$4:$H$10</c:f>
              <c:numCache>
                <c:formatCode>General</c:formatCode>
                <c:ptCount val="6"/>
                <c:pt idx="0">
                  <c:v>81.8125</c:v>
                </c:pt>
                <c:pt idx="1">
                  <c:v>81.3425925925926</c:v>
                </c:pt>
                <c:pt idx="2">
                  <c:v>80.018018018018</c:v>
                </c:pt>
                <c:pt idx="3">
                  <c:v>81.188679245283</c:v>
                </c:pt>
                <c:pt idx="4">
                  <c:v>81.1020408163265</c:v>
                </c:pt>
                <c:pt idx="5">
                  <c:v>83.4567901234568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0"/>
        <c:axId val="646912494"/>
        <c:axId val="460834094"/>
      </c:barChart>
      <c:catAx>
        <c:axId val="64691249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0834094"/>
        <c:crosses val="autoZero"/>
        <c:auto val="1"/>
        <c:lblAlgn val="ctr"/>
        <c:lblOffset val="100"/>
        <c:noMultiLvlLbl val="0"/>
      </c:catAx>
      <c:valAx>
        <c:axId val="4608340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9124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1">
        <a:alpha val="93000"/>
      </a:schemeClr>
    </a:solidFill>
    <a:ln w="9525" cap="flat" cmpd="sng" algn="ctr">
      <a:solidFill>
        <a:srgbClr val="7030A0"/>
      </a:solidFill>
      <a:round/>
    </a:ln>
    <a:effectLst>
      <a:glow rad="63500">
        <a:srgbClr val="7030A0">
          <a:alpha val="40000"/>
        </a:srgbClr>
      </a:glow>
      <a:outerShdw blurRad="50800" dist="38100" dir="2700000" algn="tl" rotWithShape="0">
        <a:srgbClr val="7030A0">
          <a:alpha val="40000"/>
        </a:srgbClr>
      </a:outerShdw>
      <a:softEdge rad="12700"/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[Student_Performance_Dashboard.xlsx]Pivot and Chart!PivotTable3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and Chart'!$C$31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and Chart'!$B$32:$B$38</c:f>
              <c:strCache>
                <c:ptCount val="6"/>
                <c:pt idx="0">
                  <c:v>Business Administration</c:v>
                </c:pt>
                <c:pt idx="1">
                  <c:v>Commerce</c:v>
                </c:pt>
                <c:pt idx="2">
                  <c:v>Computer Science</c:v>
                </c:pt>
                <c:pt idx="3">
                  <c:v>Information Technology</c:v>
                </c:pt>
                <c:pt idx="4">
                  <c:v>Mathematics</c:v>
                </c:pt>
                <c:pt idx="5">
                  <c:v>Physics</c:v>
                </c:pt>
              </c:strCache>
            </c:strRef>
          </c:cat>
          <c:val>
            <c:numRef>
              <c:f>'Pivot and Chart'!$C$32:$C$38</c:f>
              <c:numCache>
                <c:formatCode>General</c:formatCode>
                <c:ptCount val="6"/>
                <c:pt idx="0">
                  <c:v>64.8541666666667</c:v>
                </c:pt>
                <c:pt idx="1">
                  <c:v>62.7092592592593</c:v>
                </c:pt>
                <c:pt idx="2">
                  <c:v>64.3639639639639</c:v>
                </c:pt>
                <c:pt idx="3">
                  <c:v>63.8358490566038</c:v>
                </c:pt>
                <c:pt idx="4">
                  <c:v>62.8040816326531</c:v>
                </c:pt>
                <c:pt idx="5">
                  <c:v>65.1506172839506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641879368"/>
        <c:axId val="140664772"/>
      </c:barChart>
      <c:catAx>
        <c:axId val="641879368"/>
        <c:scaling>
          <c:orientation val="minMax"/>
        </c:scaling>
        <c:delete val="0"/>
        <c:axPos val="b"/>
        <c:majorTickMark val="none"/>
        <c:minorTickMark val="cross"/>
        <c:tickLblPos val="low"/>
        <c:spPr>
          <a:noFill/>
          <a:ln w="222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b" anchorCtr="0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664772"/>
        <c:crosses val="autoZero"/>
        <c:auto val="1"/>
        <c:lblAlgn val="ctr"/>
        <c:lblOffset val="100"/>
        <c:noMultiLvlLbl val="0"/>
      </c:catAx>
      <c:valAx>
        <c:axId val="1406647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87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rgbClr val="7030A0"/>
      </a:solidFill>
      <a:round/>
    </a:ln>
    <a:effectLst>
      <a:glow rad="63500">
        <a:srgbClr val="7030A0">
          <a:alpha val="56000"/>
        </a:srgbClr>
      </a:glow>
      <a:outerShdw blurRad="50800" dist="38100" algn="tl" rotWithShape="0">
        <a:srgbClr val="7030A0">
          <a:alpha val="40000"/>
        </a:srgbClr>
      </a:outerShdw>
      <a:softEdge rad="12700"/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[Student_Performance_Dashboard.xlsx]Pivot and Chart!PivotTable4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and Chart'!$J$31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and Chart'!$I$32:$I$38</c:f>
              <c:strCache>
                <c:ptCount val="6"/>
                <c:pt idx="0">
                  <c:v>Business Administration</c:v>
                </c:pt>
                <c:pt idx="1">
                  <c:v>Commerce</c:v>
                </c:pt>
                <c:pt idx="2">
                  <c:v>Computer Science</c:v>
                </c:pt>
                <c:pt idx="3">
                  <c:v>Information Technology</c:v>
                </c:pt>
                <c:pt idx="4">
                  <c:v>Mathematics</c:v>
                </c:pt>
                <c:pt idx="5">
                  <c:v>Physics</c:v>
                </c:pt>
              </c:strCache>
            </c:strRef>
          </c:cat>
          <c:val>
            <c:numRef>
              <c:f>'Pivot and Chart'!$J$32:$J$38</c:f>
              <c:numCache>
                <c:formatCode>General</c:formatCode>
                <c:ptCount val="6"/>
                <c:pt idx="0">
                  <c:v>324.270833333333</c:v>
                </c:pt>
                <c:pt idx="1">
                  <c:v>313.546296296296</c:v>
                </c:pt>
                <c:pt idx="2">
                  <c:v>321.81981981982</c:v>
                </c:pt>
                <c:pt idx="3">
                  <c:v>319.179245283019</c:v>
                </c:pt>
                <c:pt idx="4">
                  <c:v>314.020408163265</c:v>
                </c:pt>
                <c:pt idx="5">
                  <c:v>325.753086419753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43336299"/>
        <c:axId val="74156118"/>
      </c:barChart>
      <c:catAx>
        <c:axId val="5433362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56118"/>
        <c:crosses val="autoZero"/>
        <c:auto val="1"/>
        <c:lblAlgn val="ctr"/>
        <c:lblOffset val="100"/>
        <c:noMultiLvlLbl val="0"/>
      </c:catAx>
      <c:valAx>
        <c:axId val="7415611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33362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rgbClr val="7030A0"/>
      </a:solidFill>
      <a:round/>
    </a:ln>
    <a:effectLst>
      <a:glow rad="63500">
        <a:srgbClr val="7030A0">
          <a:alpha val="47000"/>
        </a:srgbClr>
      </a:glow>
      <a:outerShdw blurRad="50800" dist="38100" dir="600000" algn="tl" rotWithShape="0">
        <a:srgbClr val="7030A0">
          <a:alpha val="40000"/>
        </a:srgbClr>
      </a:outerShdw>
      <a:softEdge rad="12700"/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[Student_Performance_Dashboard.xlsx]Pivot and Chart!PivotTable1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and Chart'!$B$3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and Chart'!$A$4:$A$6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and Chart'!$B$4:$B$6</c:f>
              <c:numCache>
                <c:formatCode>General</c:formatCode>
                <c:ptCount val="2"/>
                <c:pt idx="0">
                  <c:v>64.8033112582782</c:v>
                </c:pt>
                <c:pt idx="1">
                  <c:v>62.9899328859061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15ff7a-42f5-4288-8ef1-f3aae9d9710b}"/>
      </c:ext>
    </c:extLst>
  </c:chart>
  <c:spPr>
    <a:gradFill>
      <a:gsLst>
        <a:gs pos="50000">
          <a:schemeClr val="accent1"/>
        </a:gs>
        <a:gs pos="0">
          <a:schemeClr val="accent1">
            <a:lumMod val="25000"/>
            <a:lumOff val="75000"/>
          </a:schemeClr>
        </a:gs>
        <a:gs pos="100000">
          <a:schemeClr val="accent1">
            <a:lumMod val="85000"/>
          </a:schemeClr>
        </a:gs>
      </a:gsLst>
      <a:lin ang="5400000" scaled="1"/>
    </a:gradFill>
    <a:ln w="0" cap="flat" cmpd="sng" algn="ctr">
      <a:solidFill>
        <a:srgbClr val="7030A0"/>
      </a:solidFill>
      <a:round/>
    </a:ln>
    <a:effectLst>
      <a:outerShdw blurRad="50800" dist="38100" algn="tl" rotWithShape="0">
        <a:srgbClr val="7030A0">
          <a:alpha val="40000"/>
        </a:srgb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[Student_Performance_Dashboard.xlsx]Pivot and Chart!PivotTable2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and Chart'!$H$3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and Chart'!$G$4:$G$10</c:f>
              <c:strCache>
                <c:ptCount val="6"/>
                <c:pt idx="0">
                  <c:v>Business Administration</c:v>
                </c:pt>
                <c:pt idx="1">
                  <c:v>Commerce</c:v>
                </c:pt>
                <c:pt idx="2">
                  <c:v>Computer Science</c:v>
                </c:pt>
                <c:pt idx="3">
                  <c:v>Information Technology</c:v>
                </c:pt>
                <c:pt idx="4">
                  <c:v>Mathematics</c:v>
                </c:pt>
                <c:pt idx="5">
                  <c:v>Physics</c:v>
                </c:pt>
              </c:strCache>
            </c:strRef>
          </c:cat>
          <c:val>
            <c:numRef>
              <c:f>'Pivot and Chart'!$H$4:$H$10</c:f>
              <c:numCache>
                <c:formatCode>General</c:formatCode>
                <c:ptCount val="6"/>
                <c:pt idx="0">
                  <c:v>81.8125</c:v>
                </c:pt>
                <c:pt idx="1">
                  <c:v>81.3425925925926</c:v>
                </c:pt>
                <c:pt idx="2">
                  <c:v>80.018018018018</c:v>
                </c:pt>
                <c:pt idx="3">
                  <c:v>81.188679245283</c:v>
                </c:pt>
                <c:pt idx="4">
                  <c:v>81.1020408163265</c:v>
                </c:pt>
                <c:pt idx="5">
                  <c:v>83.4567901234568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0"/>
        <c:axId val="646912494"/>
        <c:axId val="460834094"/>
      </c:barChart>
      <c:catAx>
        <c:axId val="64691249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0834094"/>
        <c:crosses val="autoZero"/>
        <c:auto val="1"/>
        <c:lblAlgn val="ctr"/>
        <c:lblOffset val="100"/>
        <c:noMultiLvlLbl val="0"/>
      </c:catAx>
      <c:valAx>
        <c:axId val="4608340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9124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bce513-5641-49f6-a3e8-f7c3936a6cf3}"/>
      </c:ext>
    </c:extLst>
  </c:chart>
  <c:spPr>
    <a:gradFill>
      <a:gsLst>
        <a:gs pos="50000">
          <a:schemeClr val="accent1"/>
        </a:gs>
        <a:gs pos="0">
          <a:schemeClr val="accent1">
            <a:lumMod val="25000"/>
            <a:lumOff val="75000"/>
          </a:schemeClr>
        </a:gs>
        <a:gs pos="100000">
          <a:schemeClr val="accent1">
            <a:lumMod val="85000"/>
          </a:schemeClr>
        </a:gs>
      </a:gsLst>
      <a:lin ang="5400000" scaled="1"/>
    </a:gradFill>
    <a:ln w="9525" cap="flat" cmpd="sng" algn="ctr">
      <a:solidFill>
        <a:srgbClr val="7030A0"/>
      </a:solidFill>
      <a:round/>
    </a:ln>
    <a:effectLst>
      <a:glow rad="63500">
        <a:srgbClr val="7030A0">
          <a:alpha val="40000"/>
        </a:srgbClr>
      </a:glow>
      <a:outerShdw blurRad="50800" dist="38100" dir="2700000" algn="tl" rotWithShape="0">
        <a:srgbClr val="7030A0">
          <a:alpha val="40000"/>
        </a:srgbClr>
      </a:outerShdw>
      <a:softEdge rad="12700"/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[Student_Performance_Dashboard.xlsx]Pivot and Chart!PivotTable3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and Chart'!$C$31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and Chart'!$B$32:$B$38</c:f>
              <c:strCache>
                <c:ptCount val="6"/>
                <c:pt idx="0">
                  <c:v>Business Administration</c:v>
                </c:pt>
                <c:pt idx="1">
                  <c:v>Commerce</c:v>
                </c:pt>
                <c:pt idx="2">
                  <c:v>Computer Science</c:v>
                </c:pt>
                <c:pt idx="3">
                  <c:v>Information Technology</c:v>
                </c:pt>
                <c:pt idx="4">
                  <c:v>Mathematics</c:v>
                </c:pt>
                <c:pt idx="5">
                  <c:v>Physics</c:v>
                </c:pt>
              </c:strCache>
            </c:strRef>
          </c:cat>
          <c:val>
            <c:numRef>
              <c:f>'Pivot and Chart'!$C$32:$C$38</c:f>
              <c:numCache>
                <c:formatCode>General</c:formatCode>
                <c:ptCount val="6"/>
                <c:pt idx="0">
                  <c:v>64.8541666666667</c:v>
                </c:pt>
                <c:pt idx="1">
                  <c:v>62.7092592592593</c:v>
                </c:pt>
                <c:pt idx="2">
                  <c:v>64.3639639639639</c:v>
                </c:pt>
                <c:pt idx="3">
                  <c:v>63.8358490566038</c:v>
                </c:pt>
                <c:pt idx="4">
                  <c:v>62.8040816326531</c:v>
                </c:pt>
                <c:pt idx="5">
                  <c:v>65.1506172839506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641879368"/>
        <c:axId val="140664772"/>
      </c:barChart>
      <c:catAx>
        <c:axId val="641879368"/>
        <c:scaling>
          <c:orientation val="minMax"/>
        </c:scaling>
        <c:delete val="0"/>
        <c:axPos val="b"/>
        <c:majorTickMark val="none"/>
        <c:minorTickMark val="cross"/>
        <c:tickLblPos val="low"/>
        <c:spPr>
          <a:noFill/>
          <a:ln w="222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b" anchorCtr="0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664772"/>
        <c:crosses val="autoZero"/>
        <c:auto val="1"/>
        <c:lblAlgn val="ctr"/>
        <c:lblOffset val="100"/>
        <c:noMultiLvlLbl val="0"/>
      </c:catAx>
      <c:valAx>
        <c:axId val="1406647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87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74c32f-cb78-488c-822a-393b03d46bcc}"/>
      </c:ext>
    </c:extLst>
  </c:chart>
  <c:spPr>
    <a:gradFill>
      <a:gsLst>
        <a:gs pos="50000">
          <a:schemeClr val="accent1"/>
        </a:gs>
        <a:gs pos="0">
          <a:schemeClr val="accent1">
            <a:lumMod val="25000"/>
            <a:lumOff val="75000"/>
          </a:schemeClr>
        </a:gs>
        <a:gs pos="100000">
          <a:schemeClr val="accent1">
            <a:lumMod val="85000"/>
          </a:schemeClr>
        </a:gs>
      </a:gsLst>
      <a:lin ang="5400000" scaled="1"/>
    </a:gradFill>
    <a:ln w="9525" cap="flat" cmpd="sng" algn="ctr">
      <a:solidFill>
        <a:srgbClr val="7030A0"/>
      </a:solidFill>
      <a:round/>
    </a:ln>
    <a:effectLst>
      <a:glow rad="63500">
        <a:srgbClr val="7030A0">
          <a:alpha val="56000"/>
        </a:srgbClr>
      </a:glow>
      <a:outerShdw blurRad="50800" dist="38100" algn="tl" rotWithShape="0">
        <a:srgbClr val="7030A0">
          <a:alpha val="40000"/>
        </a:srgbClr>
      </a:outerShdw>
      <a:softEdge rad="12700"/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[Student_Performance_Dashboard.xlsx]Pivot and Chart!PivotTable4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and Chart'!$J$31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and Chart'!$I$32:$I$38</c:f>
              <c:strCache>
                <c:ptCount val="6"/>
                <c:pt idx="0">
                  <c:v>Business Administration</c:v>
                </c:pt>
                <c:pt idx="1">
                  <c:v>Commerce</c:v>
                </c:pt>
                <c:pt idx="2">
                  <c:v>Computer Science</c:v>
                </c:pt>
                <c:pt idx="3">
                  <c:v>Information Technology</c:v>
                </c:pt>
                <c:pt idx="4">
                  <c:v>Mathematics</c:v>
                </c:pt>
                <c:pt idx="5">
                  <c:v>Physics</c:v>
                </c:pt>
              </c:strCache>
            </c:strRef>
          </c:cat>
          <c:val>
            <c:numRef>
              <c:f>'Pivot and Chart'!$J$32:$J$38</c:f>
              <c:numCache>
                <c:formatCode>General</c:formatCode>
                <c:ptCount val="6"/>
                <c:pt idx="0">
                  <c:v>324.270833333333</c:v>
                </c:pt>
                <c:pt idx="1">
                  <c:v>313.546296296296</c:v>
                </c:pt>
                <c:pt idx="2">
                  <c:v>321.81981981982</c:v>
                </c:pt>
                <c:pt idx="3">
                  <c:v>319.179245283019</c:v>
                </c:pt>
                <c:pt idx="4">
                  <c:v>314.020408163265</c:v>
                </c:pt>
                <c:pt idx="5">
                  <c:v>325.753086419753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43336299"/>
        <c:axId val="74156118"/>
      </c:barChart>
      <c:catAx>
        <c:axId val="5433362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56118"/>
        <c:crosses val="autoZero"/>
        <c:auto val="1"/>
        <c:lblAlgn val="ctr"/>
        <c:lblOffset val="100"/>
        <c:noMultiLvlLbl val="0"/>
      </c:catAx>
      <c:valAx>
        <c:axId val="7415611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33362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3b49d5-1002-42e0-87ba-c3a59ac468a4}"/>
      </c:ext>
    </c:extLst>
  </c:chart>
  <c:spPr>
    <a:gradFill>
      <a:gsLst>
        <a:gs pos="50000">
          <a:schemeClr val="accent1"/>
        </a:gs>
        <a:gs pos="0">
          <a:schemeClr val="accent1">
            <a:lumMod val="25000"/>
            <a:lumOff val="75000"/>
          </a:schemeClr>
        </a:gs>
        <a:gs pos="100000">
          <a:schemeClr val="accent1">
            <a:lumMod val="85000"/>
          </a:schemeClr>
        </a:gs>
      </a:gsLst>
      <a:lin ang="5400000" scaled="1"/>
    </a:gradFill>
    <a:ln w="9525" cap="flat" cmpd="sng" algn="ctr">
      <a:solidFill>
        <a:srgbClr val="7030A0"/>
      </a:solidFill>
      <a:round/>
    </a:ln>
    <a:effectLst>
      <a:glow rad="63500">
        <a:srgbClr val="7030A0">
          <a:alpha val="47000"/>
        </a:srgbClr>
      </a:glow>
      <a:outerShdw blurRad="50800" dist="38100" dir="600000" algn="tl" rotWithShape="0">
        <a:srgbClr val="7030A0">
          <a:alpha val="40000"/>
        </a:srgbClr>
      </a:outerShdw>
      <a:softEdge rad="12700"/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2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115570</xdr:colOff>
      <xdr:row>6</xdr:row>
      <xdr:rowOff>137160</xdr:rowOff>
    </xdr:from>
    <xdr:to>
      <xdr:col>4</xdr:col>
      <xdr:colOff>278765</xdr:colOff>
      <xdr:row>19</xdr:row>
      <xdr:rowOff>50800</xdr:rowOff>
    </xdr:to>
    <xdr:graphicFrame>
      <xdr:nvGraphicFramePr>
        <xdr:cNvPr id="2" name="Chart 1"/>
        <xdr:cNvGraphicFramePr/>
      </xdr:nvGraphicFramePr>
      <xdr:xfrm>
        <a:off x="115570" y="1457960"/>
        <a:ext cx="5019040" cy="2390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525145</xdr:colOff>
      <xdr:row>11</xdr:row>
      <xdr:rowOff>80010</xdr:rowOff>
    </xdr:from>
    <xdr:to>
      <xdr:col>8</xdr:col>
      <xdr:colOff>69215</xdr:colOff>
      <xdr:row>25</xdr:row>
      <xdr:rowOff>156845</xdr:rowOff>
    </xdr:to>
    <xdr:graphicFrame>
      <xdr:nvGraphicFramePr>
        <xdr:cNvPr id="3" name="Chart 2"/>
        <xdr:cNvGraphicFramePr/>
      </xdr:nvGraphicFramePr>
      <xdr:xfrm>
        <a:off x="5659755" y="2353310"/>
        <a:ext cx="4973320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</xdr:colOff>
      <xdr:row>39</xdr:row>
      <xdr:rowOff>45720</xdr:rowOff>
    </xdr:from>
    <xdr:to>
      <xdr:col>6</xdr:col>
      <xdr:colOff>1495425</xdr:colOff>
      <xdr:row>58</xdr:row>
      <xdr:rowOff>120650</xdr:rowOff>
    </xdr:to>
    <xdr:graphicFrame>
      <xdr:nvGraphicFramePr>
        <xdr:cNvPr id="4" name="Chart 3"/>
        <xdr:cNvGraphicFramePr/>
      </xdr:nvGraphicFramePr>
      <xdr:xfrm>
        <a:off x="828040" y="7919720"/>
        <a:ext cx="6411595" cy="3694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74295</xdr:colOff>
      <xdr:row>38</xdr:row>
      <xdr:rowOff>156845</xdr:rowOff>
    </xdr:from>
    <xdr:to>
      <xdr:col>14</xdr:col>
      <xdr:colOff>348615</xdr:colOff>
      <xdr:row>58</xdr:row>
      <xdr:rowOff>4445</xdr:rowOff>
    </xdr:to>
    <xdr:graphicFrame>
      <xdr:nvGraphicFramePr>
        <xdr:cNvPr id="5" name="Chart 4"/>
        <xdr:cNvGraphicFramePr/>
      </xdr:nvGraphicFramePr>
      <xdr:xfrm>
        <a:off x="10638155" y="7840345"/>
        <a:ext cx="5951220" cy="365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447040</xdr:colOff>
      <xdr:row>0</xdr:row>
      <xdr:rowOff>203200</xdr:rowOff>
    </xdr:from>
    <xdr:to>
      <xdr:col>9</xdr:col>
      <xdr:colOff>637540</xdr:colOff>
      <xdr:row>12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0900" y="203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440690</xdr:colOff>
      <xdr:row>13</xdr:row>
      <xdr:rowOff>44450</xdr:rowOff>
    </xdr:from>
    <xdr:to>
      <xdr:col>9</xdr:col>
      <xdr:colOff>631190</xdr:colOff>
      <xdr:row>25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it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04550" y="26987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29845</xdr:colOff>
      <xdr:row>0</xdr:row>
      <xdr:rowOff>9525</xdr:rowOff>
    </xdr:from>
    <xdr:to>
      <xdr:col>20</xdr:col>
      <xdr:colOff>56515</xdr:colOff>
      <xdr:row>3</xdr:row>
      <xdr:rowOff>48260</xdr:rowOff>
    </xdr:to>
    <xdr:sp>
      <xdr:nvSpPr>
        <xdr:cNvPr id="2" name="Rounded Rectangle 1" title="Student Analysis Dashboard"/>
        <xdr:cNvSpPr/>
      </xdr:nvSpPr>
      <xdr:spPr>
        <a:xfrm>
          <a:off x="29845" y="9525"/>
          <a:ext cx="12218670" cy="610235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Ins="0" rtlCol="0" anchor="ctr" anchorCtr="0"/>
        <a:p>
          <a:pPr indent="457200" algn="ctr"/>
          <a:r>
            <a:rPr lang="en-IN" altLang="en-US" sz="2000" b="1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" panose="020B0604020202020204" pitchFamily="7" charset="0"/>
              <a:cs typeface="Arial" panose="020B0604020202020204" pitchFamily="7" charset="0"/>
            </a:rPr>
            <a:t>STUDENT </a:t>
          </a:r>
          <a:r>
            <a:rPr lang="en-IN" altLang="en-US" sz="2000" b="1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Arial" panose="020B0604020202020204" pitchFamily="7" charset="0"/>
              <a:cs typeface="Arial" panose="020B0604020202020204" pitchFamily="7" charset="0"/>
            </a:rPr>
            <a:t>PERFORMANCE </a:t>
          </a:r>
          <a:r>
            <a:rPr lang="en-IN" altLang="en-US" sz="2000" b="1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" panose="020B0604020202020204" pitchFamily="7" charset="0"/>
              <a:cs typeface="Arial" panose="020B0604020202020204" pitchFamily="7" charset="0"/>
            </a:rPr>
            <a:t>DASHBOARD</a:t>
          </a:r>
          <a:endParaRPr lang="en-IN" altLang="en-US" sz="2000" b="1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123825</xdr:colOff>
      <xdr:row>3</xdr:row>
      <xdr:rowOff>142875</xdr:rowOff>
    </xdr:from>
    <xdr:to>
      <xdr:col>4</xdr:col>
      <xdr:colOff>199390</xdr:colOff>
      <xdr:row>6</xdr:row>
      <xdr:rowOff>161925</xdr:rowOff>
    </xdr:to>
    <xdr:sp>
      <xdr:nvSpPr>
        <xdr:cNvPr id="9" name="Rounded Rectangle 8"/>
        <xdr:cNvSpPr/>
      </xdr:nvSpPr>
      <xdr:spPr>
        <a:xfrm>
          <a:off x="123825" y="714375"/>
          <a:ext cx="2513965" cy="59055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rIns="0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n-IN" altLang="en-US" sz="1100" b="1">
              <a:latin typeface="Arial" panose="020B0604020202020204" pitchFamily="7" charset="0"/>
              <a:cs typeface="Arial" panose="020B0604020202020204" pitchFamily="7" charset="0"/>
            </a:rPr>
            <a:t>TOTAL STUDENTS</a:t>
          </a:r>
          <a:endParaRPr lang="en-IN" altLang="en-US" sz="11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>
            <a:buClrTx/>
            <a:buSzTx/>
            <a:buFontTx/>
          </a:pPr>
          <a:r>
            <a:rPr lang="en-IN" altLang="en-US" sz="1100" b="1">
              <a:latin typeface="Arial" panose="020B0604020202020204" pitchFamily="7" charset="0"/>
              <a:cs typeface="Arial" panose="020B0604020202020204" pitchFamily="7" charset="0"/>
            </a:rPr>
            <a:t>600</a:t>
          </a:r>
          <a:endParaRPr lang="en-IN" altLang="en-US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431800</xdr:colOff>
      <xdr:row>3</xdr:row>
      <xdr:rowOff>146050</xdr:rowOff>
    </xdr:from>
    <xdr:to>
      <xdr:col>9</xdr:col>
      <xdr:colOff>40005</xdr:colOff>
      <xdr:row>6</xdr:row>
      <xdr:rowOff>165100</xdr:rowOff>
    </xdr:to>
    <xdr:sp>
      <xdr:nvSpPr>
        <xdr:cNvPr id="11" name="Rounded Rectangle 10"/>
        <xdr:cNvSpPr/>
      </xdr:nvSpPr>
      <xdr:spPr>
        <a:xfrm>
          <a:off x="2870200" y="717550"/>
          <a:ext cx="2656205" cy="59055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rIns="0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  <a:buNone/>
          </a:pPr>
          <a:r>
            <a:rPr lang="en-IN" altLang="en-US" sz="1100" b="1">
              <a:latin typeface="Arial" panose="020B0604020202020204" pitchFamily="7" charset="0"/>
              <a:cs typeface="Arial" panose="020B0604020202020204" pitchFamily="7" charset="0"/>
            </a:rPr>
            <a:t>Count of Department</a:t>
          </a:r>
          <a:endParaRPr lang="en-IN" altLang="en-US" sz="11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>
            <a:buClrTx/>
            <a:buSzTx/>
            <a:buFontTx/>
            <a:buNone/>
          </a:pPr>
          <a:r>
            <a:rPr lang="en-IN" altLang="en-US" sz="1100" b="1">
              <a:latin typeface="Arial" panose="020B0604020202020204" pitchFamily="7" charset="0"/>
              <a:cs typeface="Arial" panose="020B0604020202020204" pitchFamily="7" charset="0"/>
            </a:rPr>
            <a:t>6</a:t>
          </a:r>
          <a:endParaRPr lang="en-IN" altLang="en-US" sz="11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>
            <a:buClrTx/>
            <a:buSzTx/>
            <a:buFontTx/>
            <a:buNone/>
          </a:pPr>
          <a:endParaRPr lang="en-IN" altLang="en-US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9</xdr:col>
      <xdr:colOff>300990</xdr:colOff>
      <xdr:row>3</xdr:row>
      <xdr:rowOff>139700</xdr:rowOff>
    </xdr:from>
    <xdr:to>
      <xdr:col>14</xdr:col>
      <xdr:colOff>224155</xdr:colOff>
      <xdr:row>6</xdr:row>
      <xdr:rowOff>158750</xdr:rowOff>
    </xdr:to>
    <xdr:sp>
      <xdr:nvSpPr>
        <xdr:cNvPr id="12" name="Rounded Rectangle 11"/>
        <xdr:cNvSpPr/>
      </xdr:nvSpPr>
      <xdr:spPr>
        <a:xfrm>
          <a:off x="5787390" y="711200"/>
          <a:ext cx="2971165" cy="59055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rIns="0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  <a:buNone/>
          </a:pPr>
          <a:r>
            <a:rPr lang="en-IN" altLang="en-US" sz="1100" b="1">
              <a:latin typeface="Arial" panose="020B0604020202020204" pitchFamily="7" charset="0"/>
              <a:cs typeface="Arial" panose="020B0604020202020204" pitchFamily="7" charset="0"/>
            </a:rPr>
            <a:t>Average of Attendance Percentage</a:t>
          </a:r>
          <a:endParaRPr lang="en-IN" altLang="en-US" sz="11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>
            <a:buClrTx/>
            <a:buSzTx/>
            <a:buFontTx/>
            <a:buNone/>
          </a:pPr>
          <a:r>
            <a:rPr lang="en-IN" altLang="en-US" sz="1100" b="1">
              <a:latin typeface="Arial" panose="020B0604020202020204" pitchFamily="7" charset="0"/>
              <a:cs typeface="Arial" panose="020B0604020202020204" pitchFamily="7" charset="0"/>
            </a:rPr>
            <a:t>81.39166667</a:t>
          </a:r>
          <a:endParaRPr lang="en-IN" altLang="en-US" sz="11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>
            <a:buClrTx/>
            <a:buSzTx/>
            <a:buFontTx/>
            <a:buNone/>
          </a:pPr>
          <a:endParaRPr lang="en-IN" altLang="en-US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14</xdr:col>
      <xdr:colOff>466090</xdr:colOff>
      <xdr:row>3</xdr:row>
      <xdr:rowOff>133350</xdr:rowOff>
    </xdr:from>
    <xdr:to>
      <xdr:col>19</xdr:col>
      <xdr:colOff>541655</xdr:colOff>
      <xdr:row>6</xdr:row>
      <xdr:rowOff>152400</xdr:rowOff>
    </xdr:to>
    <xdr:sp>
      <xdr:nvSpPr>
        <xdr:cNvPr id="13" name="Rounded Rectangle 12"/>
        <xdr:cNvSpPr/>
      </xdr:nvSpPr>
      <xdr:spPr>
        <a:xfrm>
          <a:off x="9000490" y="704850"/>
          <a:ext cx="3123565" cy="59055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rIns="0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  <a:buNone/>
          </a:pPr>
          <a:r>
            <a:rPr lang="en-IN" altLang="en-US" sz="1100" b="1">
              <a:latin typeface="Arial" panose="020B0604020202020204" pitchFamily="7" charset="0"/>
              <a:cs typeface="Arial" panose="020B0604020202020204" pitchFamily="7" charset="0"/>
            </a:rPr>
            <a:t>Count of City</a:t>
          </a:r>
          <a:endParaRPr lang="en-IN" altLang="en-US" sz="11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>
            <a:buClrTx/>
            <a:buSzTx/>
            <a:buFontTx/>
            <a:buNone/>
          </a:pPr>
          <a:r>
            <a:rPr lang="en-IN" altLang="en-US" sz="1100" b="1">
              <a:latin typeface="Arial" panose="020B0604020202020204" pitchFamily="7" charset="0"/>
              <a:cs typeface="Arial" panose="020B0604020202020204" pitchFamily="7" charset="0"/>
            </a:rPr>
            <a:t>8</a:t>
          </a:r>
          <a:endParaRPr lang="en-IN" altLang="en-US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76200</xdr:colOff>
      <xdr:row>7</xdr:row>
      <xdr:rowOff>66675</xdr:rowOff>
    </xdr:from>
    <xdr:to>
      <xdr:col>5</xdr:col>
      <xdr:colOff>476885</xdr:colOff>
      <xdr:row>19</xdr:row>
      <xdr:rowOff>170815</xdr:rowOff>
    </xdr:to>
    <xdr:graphicFrame>
      <xdr:nvGraphicFramePr>
        <xdr:cNvPr id="16" name="Chart 15"/>
        <xdr:cNvGraphicFramePr/>
      </xdr:nvGraphicFramePr>
      <xdr:xfrm>
        <a:off x="76200" y="1400175"/>
        <a:ext cx="3448685" cy="2390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581025</xdr:colOff>
      <xdr:row>7</xdr:row>
      <xdr:rowOff>57150</xdr:rowOff>
    </xdr:from>
    <xdr:to>
      <xdr:col>13</xdr:col>
      <xdr:colOff>459740</xdr:colOff>
      <xdr:row>19</xdr:row>
      <xdr:rowOff>161925</xdr:rowOff>
    </xdr:to>
    <xdr:graphicFrame>
      <xdr:nvGraphicFramePr>
        <xdr:cNvPr id="17" name="Chart 16"/>
        <xdr:cNvGraphicFramePr/>
      </xdr:nvGraphicFramePr>
      <xdr:xfrm>
        <a:off x="3629025" y="1390650"/>
        <a:ext cx="4755515" cy="2390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20</xdr:row>
      <xdr:rowOff>104775</xdr:rowOff>
    </xdr:from>
    <xdr:to>
      <xdr:col>10</xdr:col>
      <xdr:colOff>448945</xdr:colOff>
      <xdr:row>39</xdr:row>
      <xdr:rowOff>179705</xdr:rowOff>
    </xdr:to>
    <xdr:graphicFrame>
      <xdr:nvGraphicFramePr>
        <xdr:cNvPr id="18" name="Chart 17"/>
        <xdr:cNvGraphicFramePr/>
      </xdr:nvGraphicFramePr>
      <xdr:xfrm>
        <a:off x="133350" y="3914775"/>
        <a:ext cx="6411595" cy="3694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36195</xdr:colOff>
      <xdr:row>20</xdr:row>
      <xdr:rowOff>95250</xdr:rowOff>
    </xdr:from>
    <xdr:to>
      <xdr:col>20</xdr:col>
      <xdr:colOff>146050</xdr:colOff>
      <xdr:row>39</xdr:row>
      <xdr:rowOff>170815</xdr:rowOff>
    </xdr:to>
    <xdr:graphicFrame>
      <xdr:nvGraphicFramePr>
        <xdr:cNvPr id="19" name="Chart 18"/>
        <xdr:cNvGraphicFramePr/>
      </xdr:nvGraphicFramePr>
      <xdr:xfrm>
        <a:off x="6741795" y="3905250"/>
        <a:ext cx="5596255" cy="3695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69215</xdr:colOff>
      <xdr:row>7</xdr:row>
      <xdr:rowOff>63500</xdr:rowOff>
    </xdr:from>
    <xdr:to>
      <xdr:col>17</xdr:col>
      <xdr:colOff>69215</xdr:colOff>
      <xdr:row>19</xdr:row>
      <xdr:rowOff>158750</xdr:rowOff>
    </xdr:to>
    <xdr:pic>
      <xdr:nvPicPr>
        <xdr:cNvPr id="22" name="Department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03615" y="1397000"/>
          <a:ext cx="1828800" cy="2381250"/>
        </a:xfrm>
        <a:prstGeom prst="rect">
          <a:avLst/>
        </a:prstGeom>
      </xdr:spPr>
    </xdr:pic>
    <xdr:clientData/>
  </xdr:twoCellAnchor>
  <xdr:twoCellAnchor editAs="oneCell">
    <xdr:from>
      <xdr:col>17</xdr:col>
      <xdr:colOff>207010</xdr:colOff>
      <xdr:row>7</xdr:row>
      <xdr:rowOff>42545</xdr:rowOff>
    </xdr:from>
    <xdr:to>
      <xdr:col>20</xdr:col>
      <xdr:colOff>207010</xdr:colOff>
      <xdr:row>19</xdr:row>
      <xdr:rowOff>137795</xdr:rowOff>
    </xdr:to>
    <xdr:pic>
      <xdr:nvPicPr>
        <xdr:cNvPr id="23" name="City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570210" y="1376045"/>
          <a:ext cx="1828800" cy="23812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3.6879861111" refreshedBy="acer" recordCount="600">
  <cacheSource type="worksheet">
    <worksheetSource name="Table2"/>
  </cacheSource>
  <cacheFields count="17">
    <cacheField name="Student_ID" numFmtId="0">
      <sharedItems count="600">
        <s v="STU0001"/>
        <s v="STU0002"/>
        <s v="STU0003"/>
        <s v="STU0004"/>
        <s v="STU0005"/>
        <s v="STU0006"/>
        <s v="STU0007"/>
        <s v="STU0008"/>
        <s v="STU0009"/>
        <s v="STU0010"/>
        <s v="STU0011"/>
        <s v="STU0012"/>
        <s v="STU0013"/>
        <s v="STU0014"/>
        <s v="STU0015"/>
        <s v="STU0016"/>
        <s v="STU0017"/>
        <s v="STU0018"/>
        <s v="STU0019"/>
        <s v="STU0020"/>
        <s v="STU0021"/>
        <s v="STU0022"/>
        <s v="STU0023"/>
        <s v="STU0024"/>
        <s v="STU0025"/>
        <s v="STU0026"/>
        <s v="STU0027"/>
        <s v="STU0028"/>
        <s v="STU0029"/>
        <s v="STU0030"/>
        <s v="STU0031"/>
        <s v="STU0032"/>
        <s v="STU0033"/>
        <s v="STU0034"/>
        <s v="STU0035"/>
        <s v="STU0036"/>
        <s v="STU0037"/>
        <s v="STU0038"/>
        <s v="STU0039"/>
        <s v="STU0040"/>
        <s v="STU0041"/>
        <s v="STU0042"/>
        <s v="STU0043"/>
        <s v="STU0044"/>
        <s v="STU0045"/>
        <s v="STU0046"/>
        <s v="STU0047"/>
        <s v="STU0048"/>
        <s v="STU0049"/>
        <s v="STU0050"/>
        <s v="STU0051"/>
        <s v="STU0052"/>
        <s v="STU0053"/>
        <s v="STU0054"/>
        <s v="STU0055"/>
        <s v="STU0056"/>
        <s v="STU0057"/>
        <s v="STU0058"/>
        <s v="STU0059"/>
        <s v="STU0060"/>
        <s v="STU0061"/>
        <s v="STU0062"/>
        <s v="STU0063"/>
        <s v="STU0064"/>
        <s v="STU0065"/>
        <s v="STU0066"/>
        <s v="STU0067"/>
        <s v="STU0068"/>
        <s v="STU0069"/>
        <s v="STU0070"/>
        <s v="STU0071"/>
        <s v="STU0072"/>
        <s v="STU0073"/>
        <s v="STU0074"/>
        <s v="STU0075"/>
        <s v="STU0076"/>
        <s v="STU0077"/>
        <s v="STU0078"/>
        <s v="STU0079"/>
        <s v="STU0080"/>
        <s v="STU0081"/>
        <s v="STU0082"/>
        <s v="STU0083"/>
        <s v="STU0084"/>
        <s v="STU0085"/>
        <s v="STU0086"/>
        <s v="STU0087"/>
        <s v="STU0088"/>
        <s v="STU0089"/>
        <s v="STU0090"/>
        <s v="STU0091"/>
        <s v="STU0092"/>
        <s v="STU0093"/>
        <s v="STU0094"/>
        <s v="STU0095"/>
        <s v="STU0096"/>
        <s v="STU0097"/>
        <s v="STU0098"/>
        <s v="STU0099"/>
        <s v="STU0100"/>
        <s v="STU0101"/>
        <s v="STU0102"/>
        <s v="STU0103"/>
        <s v="STU0104"/>
        <s v="STU0105"/>
        <s v="STU0106"/>
        <s v="STU0107"/>
        <s v="STU0108"/>
        <s v="STU0109"/>
        <s v="STU0110"/>
        <s v="STU0111"/>
        <s v="STU0112"/>
        <s v="STU0113"/>
        <s v="STU0114"/>
        <s v="STU0115"/>
        <s v="STU0116"/>
        <s v="STU0117"/>
        <s v="STU0118"/>
        <s v="STU0119"/>
        <s v="STU0120"/>
        <s v="STU0121"/>
        <s v="STU0122"/>
        <s v="STU0123"/>
        <s v="STU0124"/>
        <s v="STU0125"/>
        <s v="STU0126"/>
        <s v="STU0127"/>
        <s v="STU0128"/>
        <s v="STU0129"/>
        <s v="STU0130"/>
        <s v="STU0131"/>
        <s v="STU0132"/>
        <s v="STU0133"/>
        <s v="STU0134"/>
        <s v="STU0135"/>
        <s v="STU0136"/>
        <s v="STU0137"/>
        <s v="STU0138"/>
        <s v="STU0139"/>
        <s v="STU0140"/>
        <s v="STU0141"/>
        <s v="STU0142"/>
        <s v="STU0143"/>
        <s v="STU0144"/>
        <s v="STU0145"/>
        <s v="STU0146"/>
        <s v="STU0147"/>
        <s v="STU0148"/>
        <s v="STU0149"/>
        <s v="STU0150"/>
        <s v="STU0151"/>
        <s v="STU0152"/>
        <s v="STU0153"/>
        <s v="STU0154"/>
        <s v="STU0155"/>
        <s v="STU0156"/>
        <s v="STU0157"/>
        <s v="STU0158"/>
        <s v="STU0159"/>
        <s v="STU0160"/>
        <s v="STU0161"/>
        <s v="STU0162"/>
        <s v="STU0163"/>
        <s v="STU0164"/>
        <s v="STU0165"/>
        <s v="STU0166"/>
        <s v="STU0167"/>
        <s v="STU0168"/>
        <s v="STU0169"/>
        <s v="STU0170"/>
        <s v="STU0171"/>
        <s v="STU0172"/>
        <s v="STU0173"/>
        <s v="STU0174"/>
        <s v="STU0175"/>
        <s v="STU0176"/>
        <s v="STU0177"/>
        <s v="STU0178"/>
        <s v="STU0179"/>
        <s v="STU0180"/>
        <s v="STU0181"/>
        <s v="STU0182"/>
        <s v="STU0183"/>
        <s v="STU0184"/>
        <s v="STU0185"/>
        <s v="STU0186"/>
        <s v="STU0187"/>
        <s v="STU0188"/>
        <s v="STU0189"/>
        <s v="STU0190"/>
        <s v="STU0191"/>
        <s v="STU0192"/>
        <s v="STU0193"/>
        <s v="STU0194"/>
        <s v="STU0195"/>
        <s v="STU0196"/>
        <s v="STU0197"/>
        <s v="STU0198"/>
        <s v="STU0199"/>
        <s v="STU0200"/>
        <s v="STU0201"/>
        <s v="STU0202"/>
        <s v="STU0203"/>
        <s v="STU0204"/>
        <s v="STU0205"/>
        <s v="STU0206"/>
        <s v="STU0207"/>
        <s v="STU0208"/>
        <s v="STU0209"/>
        <s v="STU0210"/>
        <s v="STU0211"/>
        <s v="STU0212"/>
        <s v="STU0213"/>
        <s v="STU0214"/>
        <s v="STU0215"/>
        <s v="STU0216"/>
        <s v="STU0217"/>
        <s v="STU0218"/>
        <s v="STU0219"/>
        <s v="STU0220"/>
        <s v="STU0221"/>
        <s v="STU0222"/>
        <s v="STU0223"/>
        <s v="STU0224"/>
        <s v="STU0225"/>
        <s v="STU0226"/>
        <s v="STU0227"/>
        <s v="STU0228"/>
        <s v="STU0229"/>
        <s v="STU0230"/>
        <s v="STU0231"/>
        <s v="STU0232"/>
        <s v="STU0233"/>
        <s v="STU0234"/>
        <s v="STU0235"/>
        <s v="STU0236"/>
        <s v="STU0237"/>
        <s v="STU0238"/>
        <s v="STU0239"/>
        <s v="STU0240"/>
        <s v="STU0241"/>
        <s v="STU0242"/>
        <s v="STU0243"/>
        <s v="STU0244"/>
        <s v="STU0245"/>
        <s v="STU0246"/>
        <s v="STU0247"/>
        <s v="STU0248"/>
        <s v="STU0249"/>
        <s v="STU0250"/>
        <s v="STU0251"/>
        <s v="STU0252"/>
        <s v="STU0253"/>
        <s v="STU0254"/>
        <s v="STU0255"/>
        <s v="STU0256"/>
        <s v="STU0257"/>
        <s v="STU0258"/>
        <s v="STU0259"/>
        <s v="STU0260"/>
        <s v="STU0261"/>
        <s v="STU0262"/>
        <s v="STU0263"/>
        <s v="STU0264"/>
        <s v="STU0265"/>
        <s v="STU0266"/>
        <s v="STU0267"/>
        <s v="STU0268"/>
        <s v="STU0269"/>
        <s v="STU0270"/>
        <s v="STU0271"/>
        <s v="STU0272"/>
        <s v="STU0273"/>
        <s v="STU0274"/>
        <s v="STU0275"/>
        <s v="STU0276"/>
        <s v="STU0277"/>
        <s v="STU0278"/>
        <s v="STU0279"/>
        <s v="STU0280"/>
        <s v="STU0281"/>
        <s v="STU0282"/>
        <s v="STU0283"/>
        <s v="STU0284"/>
        <s v="STU0285"/>
        <s v="STU0286"/>
        <s v="STU0287"/>
        <s v="STU0288"/>
        <s v="STU0289"/>
        <s v="STU0290"/>
        <s v="STU0291"/>
        <s v="STU0292"/>
        <s v="STU0293"/>
        <s v="STU0294"/>
        <s v="STU0295"/>
        <s v="STU0296"/>
        <s v="STU0297"/>
        <s v="STU0298"/>
        <s v="STU0299"/>
        <s v="STU0300"/>
        <s v="STU0301"/>
        <s v="STU0302"/>
        <s v="STU0303"/>
        <s v="STU0304"/>
        <s v="STU0305"/>
        <s v="STU0306"/>
        <s v="STU0307"/>
        <s v="STU0308"/>
        <s v="STU0309"/>
        <s v="STU0310"/>
        <s v="STU0311"/>
        <s v="STU0312"/>
        <s v="STU0313"/>
        <s v="STU0314"/>
        <s v="STU0315"/>
        <s v="STU0316"/>
        <s v="STU0317"/>
        <s v="STU0318"/>
        <s v="STU0319"/>
        <s v="STU0320"/>
        <s v="STU0321"/>
        <s v="STU0322"/>
        <s v="STU0323"/>
        <s v="STU0324"/>
        <s v="STU0325"/>
        <s v="STU0326"/>
        <s v="STU0327"/>
        <s v="STU0328"/>
        <s v="STU0329"/>
        <s v="STU0330"/>
        <s v="STU0331"/>
        <s v="STU0332"/>
        <s v="STU0333"/>
        <s v="STU0334"/>
        <s v="STU0335"/>
        <s v="STU0336"/>
        <s v="STU0337"/>
        <s v="STU0338"/>
        <s v="STU0339"/>
        <s v="STU0340"/>
        <s v="STU0341"/>
        <s v="STU0342"/>
        <s v="STU0343"/>
        <s v="STU0344"/>
        <s v="STU0345"/>
        <s v="STU0346"/>
        <s v="STU0347"/>
        <s v="STU0348"/>
        <s v="STU0349"/>
        <s v="STU0350"/>
        <s v="STU0351"/>
        <s v="STU0352"/>
        <s v="STU0353"/>
        <s v="STU0354"/>
        <s v="STU0355"/>
        <s v="STU0356"/>
        <s v="STU0357"/>
        <s v="STU0358"/>
        <s v="STU0359"/>
        <s v="STU0360"/>
        <s v="STU0361"/>
        <s v="STU0362"/>
        <s v="STU0363"/>
        <s v="STU0364"/>
        <s v="STU0365"/>
        <s v="STU0366"/>
        <s v="STU0367"/>
        <s v="STU0368"/>
        <s v="STU0369"/>
        <s v="STU0370"/>
        <s v="STU0371"/>
        <s v="STU0372"/>
        <s v="STU0373"/>
        <s v="STU0374"/>
        <s v="STU0375"/>
        <s v="STU0376"/>
        <s v="STU0377"/>
        <s v="STU0378"/>
        <s v="STU0379"/>
        <s v="STU0380"/>
        <s v="STU0381"/>
        <s v="STU0382"/>
        <s v="STU0383"/>
        <s v="STU0384"/>
        <s v="STU0385"/>
        <s v="STU0386"/>
        <s v="STU0387"/>
        <s v="STU0388"/>
        <s v="STU0389"/>
        <s v="STU0390"/>
        <s v="STU0391"/>
        <s v="STU0392"/>
        <s v="STU0393"/>
        <s v="STU0394"/>
        <s v="STU0395"/>
        <s v="STU0396"/>
        <s v="STU0397"/>
        <s v="STU0398"/>
        <s v="STU0399"/>
        <s v="STU0400"/>
        <s v="STU0401"/>
        <s v="STU0402"/>
        <s v="STU0403"/>
        <s v="STU0404"/>
        <s v="STU0405"/>
        <s v="STU0406"/>
        <s v="STU0407"/>
        <s v="STU0408"/>
        <s v="STU0409"/>
        <s v="STU0410"/>
        <s v="STU0411"/>
        <s v="STU0412"/>
        <s v="STU0413"/>
        <s v="STU0414"/>
        <s v="STU0415"/>
        <s v="STU0416"/>
        <s v="STU0417"/>
        <s v="STU0418"/>
        <s v="STU0419"/>
        <s v="STU0420"/>
        <s v="STU0421"/>
        <s v="STU0422"/>
        <s v="STU0423"/>
        <s v="STU0424"/>
        <s v="STU0425"/>
        <s v="STU0426"/>
        <s v="STU0427"/>
        <s v="STU0428"/>
        <s v="STU0429"/>
        <s v="STU0430"/>
        <s v="STU0431"/>
        <s v="STU0432"/>
        <s v="STU0433"/>
        <s v="STU0434"/>
        <s v="STU0435"/>
        <s v="STU0436"/>
        <s v="STU0437"/>
        <s v="STU0438"/>
        <s v="STU0439"/>
        <s v="STU0440"/>
        <s v="STU0441"/>
        <s v="STU0442"/>
        <s v="STU0443"/>
        <s v="STU0444"/>
        <s v="STU0445"/>
        <s v="STU0446"/>
        <s v="STU0447"/>
        <s v="STU0448"/>
        <s v="STU0449"/>
        <s v="STU0450"/>
        <s v="STU0451"/>
        <s v="STU0452"/>
        <s v="STU0453"/>
        <s v="STU0454"/>
        <s v="STU0455"/>
        <s v="STU0456"/>
        <s v="STU0457"/>
        <s v="STU0458"/>
        <s v="STU0459"/>
        <s v="STU0460"/>
        <s v="STU0461"/>
        <s v="STU0462"/>
        <s v="STU0463"/>
        <s v="STU0464"/>
        <s v="STU0465"/>
        <s v="STU0466"/>
        <s v="STU0467"/>
        <s v="STU0468"/>
        <s v="STU0469"/>
        <s v="STU0470"/>
        <s v="STU0471"/>
        <s v="STU0472"/>
        <s v="STU0473"/>
        <s v="STU0474"/>
        <s v="STU0475"/>
        <s v="STU0476"/>
        <s v="STU0477"/>
        <s v="STU0478"/>
        <s v="STU0479"/>
        <s v="STU0480"/>
        <s v="STU0481"/>
        <s v="STU0482"/>
        <s v="STU0483"/>
        <s v="STU0484"/>
        <s v="STU0485"/>
        <s v="STU0486"/>
        <s v="STU0487"/>
        <s v="STU0488"/>
        <s v="STU0489"/>
        <s v="STU0490"/>
        <s v="STU0491"/>
        <s v="STU0492"/>
        <s v="STU0493"/>
        <s v="STU0494"/>
        <s v="STU0495"/>
        <s v="STU0496"/>
        <s v="STU0497"/>
        <s v="STU0498"/>
        <s v="STU0499"/>
        <s v="STU0500"/>
        <s v="STU0501"/>
        <s v="STU0502"/>
        <s v="STU0503"/>
        <s v="STU0504"/>
        <s v="STU0505"/>
        <s v="STU0506"/>
        <s v="STU0507"/>
        <s v="STU0508"/>
        <s v="STU0509"/>
        <s v="STU0510"/>
        <s v="STU0511"/>
        <s v="STU0512"/>
        <s v="STU0513"/>
        <s v="STU0514"/>
        <s v="STU0515"/>
        <s v="STU0516"/>
        <s v="STU0517"/>
        <s v="STU0518"/>
        <s v="STU0519"/>
        <s v="STU0520"/>
        <s v="STU0521"/>
        <s v="STU0522"/>
        <s v="STU0523"/>
        <s v="STU0524"/>
        <s v="STU0525"/>
        <s v="STU0526"/>
        <s v="STU0527"/>
        <s v="STU0528"/>
        <s v="STU0529"/>
        <s v="STU0530"/>
        <s v="STU0531"/>
        <s v="STU0532"/>
        <s v="STU0533"/>
        <s v="STU0534"/>
        <s v="STU0535"/>
        <s v="STU0536"/>
        <s v="STU0537"/>
        <s v="STU0538"/>
        <s v="STU0539"/>
        <s v="STU0540"/>
        <s v="STU0541"/>
        <s v="STU0542"/>
        <s v="STU0543"/>
        <s v="STU0544"/>
        <s v="STU0545"/>
        <s v="STU0546"/>
        <s v="STU0547"/>
        <s v="STU0548"/>
        <s v="STU0549"/>
        <s v="STU0550"/>
        <s v="STU0551"/>
        <s v="STU0552"/>
        <s v="STU0553"/>
        <s v="STU0554"/>
        <s v="STU0555"/>
        <s v="STU0556"/>
        <s v="STU0557"/>
        <s v="STU0558"/>
        <s v="STU0559"/>
        <s v="STU0560"/>
        <s v="STU0561"/>
        <s v="STU0562"/>
        <s v="STU0563"/>
        <s v="STU0564"/>
        <s v="STU0565"/>
        <s v="STU0566"/>
        <s v="STU0567"/>
        <s v="STU0568"/>
        <s v="STU0569"/>
        <s v="STU0570"/>
        <s v="STU0571"/>
        <s v="STU0572"/>
        <s v="STU0573"/>
        <s v="STU0574"/>
        <s v="STU0575"/>
        <s v="STU0576"/>
        <s v="STU0577"/>
        <s v="STU0578"/>
        <s v="STU0579"/>
        <s v="STU0580"/>
        <s v="STU0581"/>
        <s v="STU0582"/>
        <s v="STU0583"/>
        <s v="STU0584"/>
        <s v="STU0585"/>
        <s v="STU0586"/>
        <s v="STU0587"/>
        <s v="STU0588"/>
        <s v="STU0589"/>
        <s v="STU0590"/>
        <s v="STU0591"/>
        <s v="STU0592"/>
        <s v="STU0593"/>
        <s v="STU0594"/>
        <s v="STU0595"/>
        <s v="STU0596"/>
        <s v="STU0597"/>
        <s v="STU0598"/>
        <s v="STU0599"/>
        <s v="STU0600"/>
      </sharedItems>
    </cacheField>
    <cacheField name="Name" numFmtId="0">
      <sharedItems count="214">
        <s v="Pavithra Sharma"/>
        <s v="Swetha Rani"/>
        <s v="Vaishnavi Devi"/>
        <s v="Rahul Kumar"/>
        <s v="Rakesh Priya"/>
        <s v="Aishwarya Kumar"/>
        <s v="Aditya Devi"/>
        <s v="Priya Priya"/>
        <s v="Dinesh Devi"/>
        <s v="Lavanya Devi"/>
        <s v="Naveen Rani"/>
        <s v="Rohit Rani"/>
        <s v="Deepika Raj"/>
        <s v="Krishna Priya"/>
        <s v="Manoj Raj"/>
        <s v="Ramya Priya"/>
        <s v="Shreya Kumar"/>
        <s v="Krishna Kumar"/>
        <s v="Gokul Priya"/>
        <s v="Sneha Devi"/>
        <s v="Surya Sharma"/>
        <s v="Keerthana Priya"/>
        <s v="Ramya Raj"/>
        <s v="Akash Devi"/>
        <s v="Aishwarya Priya"/>
        <s v="Ramya Sharma"/>
        <s v="Nandhini Kumar"/>
        <s v="Ramya Devi"/>
        <s v="Surya Rani"/>
        <s v="Rohit Priya"/>
        <s v="Swetha Sharma"/>
        <s v="Surya Raj"/>
        <s v="Yamuna Kumar"/>
        <s v="Pavithra Priya"/>
        <s v="Meena Sharma"/>
        <s v="Yamuna Sharma"/>
        <s v="Swetha Kumar"/>
        <s v="Harini Priya"/>
        <s v="Aishwarya Sharma"/>
        <s v="Nandhini Sharma"/>
        <s v="Manoj Sharma"/>
        <s v="Ashwin Sharma"/>
        <s v="Harish Rani"/>
        <s v="Rakesh Raj"/>
        <s v="Vignesh Priya"/>
        <s v="Rahul Rani"/>
        <s v="Pranav Sharma"/>
        <s v="Vaishnavi Kumar"/>
        <s v="Rohit Kumar"/>
        <s v="Lavanya Rani"/>
        <s v="Ananya Raj"/>
        <s v="Deepika Devi"/>
        <s v="Rohit Sharma"/>
        <s v="Aarav Raj"/>
        <s v="Pranav Priya"/>
        <s v="Aishwarya Raj"/>
        <s v="Keerthana Raj"/>
        <s v="Ananya Rani"/>
        <s v="Naveen Sharma"/>
        <s v="Aditya Raj"/>
        <s v="Reshma Devi"/>
        <s v="Pranav Devi"/>
        <s v="Lavanya Kumar"/>
        <s v="Anjali Kumar"/>
        <s v="Sahana Priya"/>
        <s v="Ananya Priya"/>
        <s v="Gokul Rani"/>
        <s v="Yamuna Priya"/>
        <s v="Surya Kumar"/>
        <s v="Keerthana Rani"/>
        <s v="Sahana Devi"/>
        <s v="Shreya Rani"/>
        <s v="Anjali Rani"/>
        <s v="Sanjay Devi"/>
        <s v="Ashwin Kumar"/>
        <s v="Surya Priya"/>
        <s v="Sneha Sharma"/>
        <s v="Rakesh Kumar"/>
        <s v="Lavanya Priya"/>
        <s v="Arjun Raj"/>
        <s v="Bharath Priya"/>
        <s v="Krishna Raj"/>
        <s v="Swetha Priya"/>
        <s v="Rohit Raj"/>
        <s v="Priya Raj"/>
        <s v="Keerthana Kumar"/>
        <s v="Bharath Sharma"/>
        <s v="Gokul Kumar"/>
        <s v="Aditya Priya"/>
        <s v="Naveen Devi"/>
        <s v="Rakesh Sharma"/>
        <s v="Deepika Kumar"/>
        <s v="Krishna Rani"/>
        <s v="Rakesh Rani"/>
        <s v="Yamuna Devi"/>
        <s v="Dinesh Rani"/>
        <s v="Vaishnavi Raj"/>
        <s v="Anjali Priya"/>
        <s v="Priya Rani"/>
        <s v="Anjali Devi"/>
        <s v="Karthik Rani"/>
        <s v="Ananya Kumar"/>
        <s v="Vignesh Rani"/>
        <s v="Krishna Devi"/>
        <s v="Aishwarya Rani"/>
        <s v="Karthik Priya"/>
        <s v="Rahul Raj"/>
        <s v="Sneha Kumar"/>
        <s v="Aditya Kumar"/>
        <s v="Naveen Kumar"/>
        <s v="Ramya Kumar"/>
        <s v="Harini Sharma"/>
        <s v="Naveen Raj"/>
        <s v="Sanjay Kumar"/>
        <s v="Pranav Rani"/>
        <s v="Pavithra Kumar"/>
        <s v="Lavanya Sharma"/>
        <s v="Keerthana Sharma"/>
        <s v="Nandhini Rani"/>
        <s v="Karthik Raj"/>
        <s v="Sanjay Rani"/>
        <s v="Meena Devi"/>
        <s v="Divya Devi"/>
        <s v="Sahana Rani"/>
        <s v="Ashwin Devi"/>
        <s v="Aarav Priya"/>
        <s v="Bharath Rani"/>
        <s v="Harish Kumar"/>
        <s v="Arjun Sharma"/>
        <s v="Swetha Devi"/>
        <s v="Manoj Priya"/>
        <s v="Reshma Sharma"/>
        <s v="Ananya Sharma"/>
        <s v="Pavithra Rani"/>
        <s v="Aishwarya Devi"/>
        <s v="Akash Raj"/>
        <s v="Akash Sharma"/>
        <s v="Aarav Kumar"/>
        <s v="Karthik Sharma"/>
        <s v="Arjun Devi"/>
        <s v="Harish Devi"/>
        <s v="Divya Sharma"/>
        <s v="Sanjay Sharma"/>
        <s v="Harini Rani"/>
        <s v="Dinesh Raj"/>
        <s v="Shreya Priya"/>
        <s v="Shreya Sharma"/>
        <s v="Sahana Raj"/>
        <s v="Rahul Devi"/>
        <s v="Pavithra Devi"/>
        <s v="Pavithra Raj"/>
        <s v="Anjali Sharma"/>
        <s v="Bharath Raj"/>
        <s v="Rakesh Devi"/>
        <s v="Dinesh Kumar"/>
        <s v="Manoj Rani"/>
        <s v="Shreya Raj"/>
        <s v="Meena Rani"/>
        <s v="Sneha Rani"/>
        <s v="Deepika Rani"/>
        <s v="Harini Devi"/>
        <s v="Bharath Kumar"/>
        <s v="Akash Priya"/>
        <s v="Manoj Kumar"/>
        <s v="Vignesh Raj"/>
        <s v="Akash Kumar"/>
        <s v="Akash Rani"/>
        <s v="Ramya Rani"/>
        <s v="Nandhini Raj"/>
        <s v="Shreya Devi"/>
        <s v="Keerthana Devi"/>
        <s v="Gokul Devi"/>
        <s v="Naveen Priya"/>
        <s v="Surya Devi"/>
        <s v="Divya Rani"/>
        <s v="Reshma Rani"/>
        <s v="Pranav Kumar"/>
        <s v="Divya Raj"/>
        <s v="Harish Priya"/>
        <s v="Reshma Raj"/>
        <s v="Priya Sharma"/>
        <s v="Rohit Devi"/>
        <s v="Aditya Sharma"/>
        <s v="Yamuna Raj"/>
        <s v="Ananya Devi"/>
        <s v="Gokul Sharma"/>
        <s v="Sneha Priya"/>
        <s v="Yamuna Rani"/>
        <s v="Ashwin Raj"/>
        <s v="Aarav Devi"/>
        <s v="Deepika Sharma"/>
        <s v="Sneha Raj"/>
        <s v="Sanjay Priya"/>
        <s v="Vaishnavi Priya"/>
        <s v="Sahana Kumar"/>
        <s v="Dinesh Priya"/>
        <s v="Divya Priya"/>
        <s v="Divya Kumar"/>
        <s v="Arjun Priya"/>
        <s v="Sanjay Raj"/>
        <s v="Bharath Devi"/>
        <s v="Ashwin Rani"/>
        <s v="Lavanya Raj"/>
        <s v="Meena Priya"/>
        <s v="Meena Kumar"/>
        <s v="Reshma Priya"/>
        <s v="Vaishnavi Sharma"/>
        <s v="Karthik Kumar"/>
        <s v="Gokul Raj"/>
        <s v="Harini Kumar"/>
        <s v="Vaishnavi Rani"/>
        <s v="Aarav Sharma"/>
        <s v="Swetha Raj"/>
        <s v="Krishna Sharma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22" count="5">
        <n v="20"/>
        <n v="21"/>
        <n v="19"/>
        <n v="22"/>
        <n v="18"/>
      </sharedItems>
    </cacheField>
    <cacheField name="Department" numFmtId="0">
      <sharedItems count="6">
        <s v="Commerce"/>
        <s v="Business Administration"/>
        <s v="Physics"/>
        <s v="Information Technology"/>
        <s v="Computer Science"/>
        <s v="Mathematics"/>
      </sharedItems>
    </cacheField>
    <cacheField name="City" numFmtId="0">
      <sharedItems count="8">
        <s v="Tiruppur"/>
        <s v="Coimbatore"/>
        <s v="Erode"/>
        <s v="Chennai"/>
        <s v="Salem"/>
        <s v="Karur"/>
        <s v="Trichy"/>
        <s v="Madurai"/>
      </sharedItems>
    </cacheField>
    <cacheField name="Attendance_Percentage" numFmtId="0">
      <sharedItems containsSemiMixedTypes="0" containsString="0" containsNumber="1" containsInteger="1" minValue="55" maxValue="100" count="44">
        <n v="90"/>
        <n v="86"/>
        <n v="78"/>
        <n v="80"/>
        <n v="84"/>
        <n v="74"/>
        <n v="81"/>
        <n v="68"/>
        <n v="89"/>
        <n v="72"/>
        <n v="76"/>
        <n v="83"/>
        <n v="85"/>
        <n v="96"/>
        <n v="70"/>
        <n v="92"/>
        <n v="100"/>
        <n v="88"/>
        <n v="71"/>
        <n v="79"/>
        <n v="75"/>
        <n v="91"/>
        <n v="95"/>
        <n v="67"/>
        <n v="98"/>
        <n v="77"/>
        <n v="66"/>
        <n v="58"/>
        <n v="73"/>
        <n v="69"/>
        <n v="87"/>
        <n v="82"/>
        <n v="99"/>
        <n v="65"/>
        <n v="63"/>
        <n v="62"/>
        <n v="93"/>
        <n v="97"/>
        <n v="64"/>
        <n v="94"/>
        <n v="56"/>
        <n v="57"/>
        <n v="61"/>
        <n v="55"/>
      </sharedItems>
    </cacheField>
    <cacheField name="Study_Hours" numFmtId="0">
      <sharedItems containsSemiMixedTypes="0" containsString="0" containsNumber="1" minValue="1" maxValue="8" count="66">
        <n v="1"/>
        <n v="2.5"/>
        <n v="4.6"/>
        <n v="4.8"/>
        <n v="5.3"/>
        <n v="1.9"/>
        <n v="2.8"/>
        <n v="3.2"/>
        <n v="4.9"/>
        <n v="3.9"/>
        <n v="4.3"/>
        <n v="3.6"/>
        <n v="4.2"/>
        <n v="6.4"/>
        <n v="5.9"/>
        <n v="3.8"/>
        <n v="2.2"/>
        <n v="2.7"/>
        <n v="4.5"/>
        <n v="5.6"/>
        <n v="2.3"/>
        <n v="6.2"/>
        <n v="4.1"/>
        <n v="5.8"/>
        <n v="6.7"/>
        <n v="4.7"/>
        <n v="3.5"/>
        <n v="1.1"/>
        <n v="5.1"/>
        <n v="6.1"/>
        <n v="1.3"/>
        <n v="3.7"/>
        <n v="3.4"/>
        <n v="2.1"/>
        <n v="4"/>
        <n v="3.3"/>
        <n v="5"/>
        <n v="5.2"/>
        <n v="6"/>
        <n v="6.3"/>
        <n v="3"/>
        <n v="1.8"/>
        <n v="1.5"/>
        <n v="5.5"/>
        <n v="4.4"/>
        <n v="7.5"/>
        <n v="1.7"/>
        <n v="2.6"/>
        <n v="6.6"/>
        <n v="3.1"/>
        <n v="2.4"/>
        <n v="6.5"/>
        <n v="1.6"/>
        <n v="1.4"/>
        <n v="2.9"/>
        <n v="5.4"/>
        <n v="1.2"/>
        <n v="2"/>
        <n v="5.7"/>
        <n v="7.4"/>
        <n v="6.9"/>
        <n v="6.8"/>
        <n v="8"/>
        <n v="7"/>
        <n v="7.7"/>
        <n v="7.1"/>
      </sharedItems>
    </cacheField>
    <cacheField name="Math_Marks" numFmtId="0">
      <sharedItems containsSemiMixedTypes="0" containsString="0" containsNumber="1" containsInteger="1" minValue="30" maxValue="98" count="67">
        <n v="47"/>
        <n v="55"/>
        <n v="72"/>
        <n v="58"/>
        <n v="71"/>
        <n v="54"/>
        <n v="41"/>
        <n v="56"/>
        <n v="48"/>
        <n v="60"/>
        <n v="69"/>
        <n v="86"/>
        <n v="57"/>
        <n v="59"/>
        <n v="76"/>
        <n v="73"/>
        <n v="79"/>
        <n v="61"/>
        <n v="40"/>
        <n v="68"/>
        <n v="65"/>
        <n v="67"/>
        <n v="75"/>
        <n v="62"/>
        <n v="85"/>
        <n v="91"/>
        <n v="38"/>
        <n v="34"/>
        <n v="66"/>
        <n v="92"/>
        <n v="74"/>
        <n v="37"/>
        <n v="64"/>
        <n v="49"/>
        <n v="45"/>
        <n v="52"/>
        <n v="42"/>
        <n v="83"/>
        <n v="95"/>
        <n v="77"/>
        <n v="30"/>
        <n v="93"/>
        <n v="70"/>
        <n v="50"/>
        <n v="63"/>
        <n v="81"/>
        <n v="53"/>
        <n v="44"/>
        <n v="43"/>
        <n v="39"/>
        <n v="78"/>
        <n v="87"/>
        <n v="31"/>
        <n v="36"/>
        <n v="51"/>
        <n v="90"/>
        <n v="89"/>
        <n v="80"/>
        <n v="82"/>
        <n v="46"/>
        <n v="84"/>
        <n v="88"/>
        <n v="33"/>
        <n v="35"/>
        <n v="94"/>
        <n v="96"/>
        <n v="98"/>
      </sharedItems>
    </cacheField>
    <cacheField name="Science_Marks" numFmtId="0">
      <sharedItems containsSemiMixedTypes="0" containsString="0" containsNumber="1" containsInteger="1" minValue="30" maxValue="98" count="62">
        <n v="43"/>
        <n v="70"/>
        <n v="73"/>
        <n v="59"/>
        <n v="74"/>
        <n v="58"/>
        <n v="52"/>
        <n v="49"/>
        <n v="54"/>
        <n v="93"/>
        <n v="68"/>
        <n v="67"/>
        <n v="71"/>
        <n v="88"/>
        <n v="66"/>
        <n v="79"/>
        <n v="56"/>
        <n v="76"/>
        <n v="55"/>
        <n v="61"/>
        <n v="57"/>
        <n v="62"/>
        <n v="82"/>
        <n v="65"/>
        <n v="64"/>
        <n v="69"/>
        <n v="30"/>
        <n v="47"/>
        <n v="92"/>
        <n v="40"/>
        <n v="51"/>
        <n v="41"/>
        <n v="72"/>
        <n v="45"/>
        <n v="75"/>
        <n v="60"/>
        <n v="78"/>
        <n v="86"/>
        <n v="44"/>
        <n v="36"/>
        <n v="77"/>
        <n v="85"/>
        <n v="42"/>
        <n v="87"/>
        <n v="83"/>
        <n v="97"/>
        <n v="80"/>
        <n v="63"/>
        <n v="50"/>
        <n v="39"/>
        <n v="37"/>
        <n v="81"/>
        <n v="32"/>
        <n v="84"/>
        <n v="53"/>
        <n v="48"/>
        <n v="91"/>
        <n v="98"/>
        <n v="89"/>
        <n v="46"/>
        <n v="94"/>
        <n v="90"/>
      </sharedItems>
    </cacheField>
    <cacheField name="English_Marks" numFmtId="0">
      <sharedItems containsSemiMixedTypes="0" containsString="0" containsNumber="1" containsInteger="1" minValue="30" maxValue="98" count="65">
        <n v="46"/>
        <n v="62"/>
        <n v="86"/>
        <n v="57"/>
        <n v="61"/>
        <n v="49"/>
        <n v="50"/>
        <n v="59"/>
        <n v="71"/>
        <n v="73"/>
        <n v="60"/>
        <n v="83"/>
        <n v="68"/>
        <n v="74"/>
        <n v="63"/>
        <n v="44"/>
        <n v="64"/>
        <n v="69"/>
        <n v="78"/>
        <n v="40"/>
        <n v="79"/>
        <n v="47"/>
        <n v="53"/>
        <n v="72"/>
        <n v="98"/>
        <n v="66"/>
        <n v="65"/>
        <n v="90"/>
        <n v="75"/>
        <n v="45"/>
        <n v="51"/>
        <n v="43"/>
        <n v="55"/>
        <n v="67"/>
        <n v="35"/>
        <n v="52"/>
        <n v="95"/>
        <n v="58"/>
        <n v="70"/>
        <n v="37"/>
        <n v="84"/>
        <n v="39"/>
        <n v="30"/>
        <n v="85"/>
        <n v="41"/>
        <n v="92"/>
        <n v="54"/>
        <n v="77"/>
        <n v="33"/>
        <n v="81"/>
        <n v="56"/>
        <n v="80"/>
        <n v="48"/>
        <n v="91"/>
        <n v="87"/>
        <n v="36"/>
        <n v="42"/>
        <n v="38"/>
        <n v="32"/>
        <n v="76"/>
        <n v="94"/>
        <n v="88"/>
        <n v="82"/>
        <n v="93"/>
        <n v="31"/>
      </sharedItems>
    </cacheField>
    <cacheField name="Computer_Marks" numFmtId="0">
      <sharedItems containsSemiMixedTypes="0" containsString="0" containsNumber="1" containsInteger="1" minValue="30" maxValue="98" count="64">
        <n v="39"/>
        <n v="61"/>
        <n v="66"/>
        <n v="48"/>
        <n v="67"/>
        <n v="62"/>
        <n v="54"/>
        <n v="55"/>
        <n v="53"/>
        <n v="68"/>
        <n v="56"/>
        <n v="75"/>
        <n v="84"/>
        <n v="78"/>
        <n v="69"/>
        <n v="52"/>
        <n v="50"/>
        <n v="64"/>
        <n v="74"/>
        <n v="59"/>
        <n v="82"/>
        <n v="76"/>
        <n v="72"/>
        <n v="51"/>
        <n v="77"/>
        <n v="57"/>
        <n v="86"/>
        <n v="60"/>
        <n v="45"/>
        <n v="70"/>
        <n v="73"/>
        <n v="46"/>
        <n v="91"/>
        <n v="63"/>
        <n v="42"/>
        <n v="47"/>
        <n v="41"/>
        <n v="58"/>
        <n v="83"/>
        <n v="44"/>
        <n v="71"/>
        <n v="92"/>
        <n v="65"/>
        <n v="80"/>
        <n v="81"/>
        <n v="43"/>
        <n v="49"/>
        <n v="40"/>
        <n v="89"/>
        <n v="79"/>
        <n v="98"/>
        <n v="38"/>
        <n v="36"/>
        <n v="30"/>
        <n v="88"/>
        <n v="37"/>
        <n v="85"/>
        <n v="33"/>
        <n v="35"/>
        <n v="32"/>
        <n v="94"/>
        <n v="93"/>
        <n v="97"/>
        <n v="95"/>
      </sharedItems>
    </cacheField>
    <cacheField name="Social_Marks" numFmtId="0">
      <sharedItems containsSemiMixedTypes="0" containsString="0" containsNumber="1" containsInteger="1" minValue="30" maxValue="98" count="66">
        <n v="53"/>
        <n v="57"/>
        <n v="65"/>
        <n v="55"/>
        <n v="63"/>
        <n v="45"/>
        <n v="59"/>
        <n v="64"/>
        <n v="47"/>
        <n v="50"/>
        <n v="67"/>
        <n v="66"/>
        <n v="60"/>
        <n v="54"/>
        <n v="87"/>
        <n v="82"/>
        <n v="56"/>
        <n v="68"/>
        <n v="84"/>
        <n v="62"/>
        <n v="76"/>
        <n v="72"/>
        <n v="43"/>
        <n v="70"/>
        <n v="58"/>
        <n v="94"/>
        <n v="34"/>
        <n v="91"/>
        <n v="48"/>
        <n v="73"/>
        <n v="35"/>
        <n v="39"/>
        <n v="85"/>
        <n v="90"/>
        <n v="46"/>
        <n v="74"/>
        <n v="61"/>
        <n v="51"/>
        <n v="38"/>
        <n v="75"/>
        <n v="80"/>
        <n v="71"/>
        <n v="52"/>
        <n v="77"/>
        <n v="37"/>
        <n v="83"/>
        <n v="30"/>
        <n v="81"/>
        <n v="49"/>
        <n v="89"/>
        <n v="69"/>
        <n v="40"/>
        <n v="96"/>
        <n v="78"/>
        <n v="79"/>
        <n v="98"/>
        <n v="33"/>
        <n v="88"/>
        <n v="86"/>
        <n v="36"/>
        <n v="41"/>
        <n v="95"/>
        <n v="44"/>
        <n v="92"/>
        <n v="32"/>
        <n v="97"/>
      </sharedItems>
    </cacheField>
    <cacheField name="Total_Marks" numFmtId="0">
      <sharedItems containsSemiMixedTypes="0" containsString="0" containsNumber="1" containsInteger="1" minValue="160" maxValue="472" count="205">
        <n v="228"/>
        <n v="305"/>
        <n v="362"/>
        <n v="277"/>
        <n v="334"/>
        <n v="298"/>
        <n v="241"/>
        <n v="281"/>
        <n v="264"/>
        <n v="288"/>
        <n v="295"/>
        <n v="355"/>
        <n v="367"/>
        <n v="322"/>
        <n v="321"/>
        <n v="294"/>
        <n v="395"/>
        <n v="380"/>
        <n v="342"/>
        <n v="311"/>
        <n v="248"/>
        <n v="316"/>
        <n v="347"/>
        <n v="346"/>
        <n v="296"/>
        <n v="315"/>
        <n v="410"/>
        <n v="286"/>
        <n v="302"/>
        <n v="341"/>
        <n v="312"/>
        <n v="304"/>
        <n v="271"/>
        <n v="350"/>
        <n v="199"/>
        <n v="331"/>
        <n v="292"/>
        <n v="345"/>
        <n v="460"/>
        <n v="220"/>
        <n v="301"/>
        <n v="249"/>
        <n v="325"/>
        <n v="403"/>
        <n v="232"/>
        <n v="349"/>
        <n v="328"/>
        <n v="231"/>
        <n v="354"/>
        <n v="320"/>
        <n v="238"/>
        <n v="340"/>
        <n v="397"/>
        <n v="221"/>
        <n v="337"/>
        <n v="254"/>
        <n v="358"/>
        <n v="353"/>
        <n v="394"/>
        <n v="445"/>
        <n v="339"/>
        <n v="280"/>
        <n v="211"/>
        <n v="285"/>
        <n v="368"/>
        <n v="308"/>
        <n v="270"/>
        <n v="186"/>
        <n v="330"/>
        <n v="422"/>
        <n v="365"/>
        <n v="317"/>
        <n v="351"/>
        <n v="274"/>
        <n v="319"/>
        <n v="324"/>
        <n v="333"/>
        <n v="314"/>
        <n v="393"/>
        <n v="225"/>
        <n v="243"/>
        <n v="374"/>
        <n v="272"/>
        <n v="283"/>
        <n v="235"/>
        <n v="332"/>
        <n v="427"/>
        <n v="303"/>
        <n v="206"/>
        <n v="366"/>
        <n v="269"/>
        <n v="436"/>
        <n v="348"/>
        <n v="253"/>
        <n v="344"/>
        <n v="377"/>
        <n v="188"/>
        <n v="369"/>
        <n v="244"/>
        <n v="382"/>
        <n v="266"/>
        <n v="207"/>
        <n v="335"/>
        <n v="278"/>
        <n v="401"/>
        <n v="329"/>
        <n v="385"/>
        <n v="299"/>
        <n v="265"/>
        <n v="213"/>
        <n v="282"/>
        <n v="310"/>
        <n v="256"/>
        <n v="267"/>
        <n v="218"/>
        <n v="236"/>
        <n v="360"/>
        <n v="370"/>
        <n v="262"/>
        <n v="375"/>
        <n v="338"/>
        <n v="379"/>
        <n v="276"/>
        <n v="227"/>
        <n v="326"/>
        <n v="417"/>
        <n v="257"/>
        <n v="404"/>
        <n v="357"/>
        <n v="313"/>
        <n v="402"/>
        <n v="388"/>
        <n v="450"/>
        <n v="279"/>
        <n v="433"/>
        <n v="160"/>
        <n v="373"/>
        <n v="399"/>
        <n v="300"/>
        <n v="273"/>
        <n v="259"/>
        <n v="364"/>
        <n v="384"/>
        <n v="293"/>
        <n v="226"/>
        <n v="181"/>
        <n v="363"/>
        <n v="437"/>
        <n v="297"/>
        <n v="287"/>
        <n v="284"/>
        <n v="391"/>
        <n v="343"/>
        <n v="386"/>
        <n v="318"/>
        <n v="376"/>
        <n v="268"/>
        <n v="378"/>
        <n v="456"/>
        <n v="233"/>
        <n v="406"/>
        <n v="260"/>
        <n v="306"/>
        <n v="372"/>
        <n v="371"/>
        <n v="239"/>
        <n v="323"/>
        <n v="408"/>
        <n v="275"/>
        <n v="389"/>
        <n v="290"/>
        <n v="381"/>
        <n v="255"/>
        <n v="240"/>
        <n v="247"/>
        <n v="252"/>
        <n v="200"/>
        <n v="251"/>
        <n v="423"/>
        <n v="428"/>
        <n v="289"/>
        <n v="443"/>
        <n v="246"/>
        <n v="352"/>
        <n v="210"/>
        <n v="435"/>
        <n v="263"/>
        <n v="336"/>
        <n v="387"/>
        <n v="418"/>
        <n v="309"/>
        <n v="429"/>
        <n v="196"/>
        <n v="434"/>
        <n v="457"/>
        <n v="291"/>
        <n v="392"/>
        <n v="412"/>
        <n v="413"/>
        <n v="431"/>
        <n v="405"/>
        <n v="407"/>
        <n v="472"/>
        <n v="416"/>
        <n v="327"/>
      </sharedItems>
    </cacheField>
    <cacheField name="Average_Marks" numFmtId="180">
      <sharedItems containsSemiMixedTypes="0" containsString="0" containsNumber="1" minValue="32" maxValue="94.4" count="205">
        <n v="45.6"/>
        <n v="61"/>
        <n v="72.4"/>
        <n v="55.4"/>
        <n v="66.8"/>
        <n v="59.6"/>
        <n v="48.2"/>
        <n v="56.2"/>
        <n v="52.8"/>
        <n v="57.6"/>
        <n v="59"/>
        <n v="71"/>
        <n v="73.4"/>
        <n v="64.4"/>
        <n v="64.2"/>
        <n v="58.8"/>
        <n v="79"/>
        <n v="76"/>
        <n v="68.4"/>
        <n v="62.2"/>
        <n v="49.6"/>
        <n v="63.2"/>
        <n v="69.4"/>
        <n v="69.2"/>
        <n v="59.2"/>
        <n v="63"/>
        <n v="82"/>
        <n v="57.2"/>
        <n v="60.4"/>
        <n v="68.2"/>
        <n v="62.4"/>
        <n v="60.8"/>
        <n v="54.2"/>
        <n v="70"/>
        <n v="39.8"/>
        <n v="66.2"/>
        <n v="58.4"/>
        <n v="69"/>
        <n v="92"/>
        <n v="44"/>
        <n v="60.2"/>
        <n v="49.8"/>
        <n v="65"/>
        <n v="80.6"/>
        <n v="46.4"/>
        <n v="69.8"/>
        <n v="65.6"/>
        <n v="46.2"/>
        <n v="70.8"/>
        <n v="64"/>
        <n v="47.6"/>
        <n v="68"/>
        <n v="79.4"/>
        <n v="44.2"/>
        <n v="67.4"/>
        <n v="50.8"/>
        <n v="71.6"/>
        <n v="70.6"/>
        <n v="78.8"/>
        <n v="89"/>
        <n v="67.8"/>
        <n v="56"/>
        <n v="42.2"/>
        <n v="57"/>
        <n v="73.6"/>
        <n v="61.6"/>
        <n v="54"/>
        <n v="37.2"/>
        <n v="66"/>
        <n v="84.4"/>
        <n v="73"/>
        <n v="63.4"/>
        <n v="70.2"/>
        <n v="54.8"/>
        <n v="63.8"/>
        <n v="64.8"/>
        <n v="66.6"/>
        <n v="62.8"/>
        <n v="78.6"/>
        <n v="45"/>
        <n v="48.6"/>
        <n v="74.8"/>
        <n v="54.4"/>
        <n v="56.6"/>
        <n v="47"/>
        <n v="66.4"/>
        <n v="85.4"/>
        <n v="60.6"/>
        <n v="41.2"/>
        <n v="73.2"/>
        <n v="53.8"/>
        <n v="87.2"/>
        <n v="69.6"/>
        <n v="50.6"/>
        <n v="68.8"/>
        <n v="75.4"/>
        <n v="37.6"/>
        <n v="73.8"/>
        <n v="48.8"/>
        <n v="76.4"/>
        <n v="53.2"/>
        <n v="41.4"/>
        <n v="67"/>
        <n v="55.6"/>
        <n v="80.2"/>
        <n v="65.8"/>
        <n v="77"/>
        <n v="59.8"/>
        <n v="53"/>
        <n v="42.6"/>
        <n v="56.4"/>
        <n v="62"/>
        <n v="51.2"/>
        <n v="53.4"/>
        <n v="43.6"/>
        <n v="47.2"/>
        <n v="72"/>
        <n v="74"/>
        <n v="52.4"/>
        <n v="75"/>
        <n v="67.6"/>
        <n v="75.8"/>
        <n v="55.2"/>
        <n v="45.4"/>
        <n v="65.2"/>
        <n v="83.4"/>
        <n v="51.4"/>
        <n v="80.8"/>
        <n v="71.4"/>
        <n v="62.6"/>
        <n v="80.4"/>
        <n v="77.6"/>
        <n v="90"/>
        <n v="55.8"/>
        <n v="86.6"/>
        <n v="32"/>
        <n v="74.6"/>
        <n v="79.8"/>
        <n v="60"/>
        <n v="54.6"/>
        <n v="51.8"/>
        <n v="72.8"/>
        <n v="76.8"/>
        <n v="58.6"/>
        <n v="45.2"/>
        <n v="36.2"/>
        <n v="72.6"/>
        <n v="87.4"/>
        <n v="59.4"/>
        <n v="57.4"/>
        <n v="56.8"/>
        <n v="78.2"/>
        <n v="68.6"/>
        <n v="77.2"/>
        <n v="63.6"/>
        <n v="75.2"/>
        <n v="53.6"/>
        <n v="75.6"/>
        <n v="91.2"/>
        <n v="46.6"/>
        <n v="81.2"/>
        <n v="52"/>
        <n v="61.2"/>
        <n v="74.4"/>
        <n v="74.2"/>
        <n v="47.8"/>
        <n v="64.6"/>
        <n v="81.6"/>
        <n v="55"/>
        <n v="77.8"/>
        <n v="58"/>
        <n v="76.2"/>
        <n v="51"/>
        <n v="48"/>
        <n v="49.4"/>
        <n v="50.4"/>
        <n v="40"/>
        <n v="50.2"/>
        <n v="84.6"/>
        <n v="85.6"/>
        <n v="57.8"/>
        <n v="88.6"/>
        <n v="49.2"/>
        <n v="70.4"/>
        <n v="42"/>
        <n v="87"/>
        <n v="52.6"/>
        <n v="67.2"/>
        <n v="77.4"/>
        <n v="83.6"/>
        <n v="61.8"/>
        <n v="85.8"/>
        <n v="39.2"/>
        <n v="86.8"/>
        <n v="91.4"/>
        <n v="58.2"/>
        <n v="78.4"/>
        <n v="82.4"/>
        <n v="82.6"/>
        <n v="86.2"/>
        <n v="81"/>
        <n v="81.4"/>
        <n v="94.4"/>
        <n v="83.2"/>
        <n v="65.4"/>
      </sharedItems>
    </cacheField>
    <cacheField name="Top_Performer" numFmtId="0">
      <sharedItems count="2">
        <s v="Improvement"/>
        <s v="TopPerformer"/>
      </sharedItems>
    </cacheField>
    <cacheField name="Grade" numFmtId="0">
      <sharedItems count="4">
        <s v="Bad"/>
        <s v="Good"/>
        <s v="Excellent"/>
        <s v="Very Ba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0"/>
    <x v="1"/>
    <x v="1"/>
    <x v="1"/>
    <x v="1"/>
    <x v="1"/>
    <x v="1"/>
    <x v="1"/>
    <x v="1"/>
    <x v="1"/>
    <x v="0"/>
    <x v="1"/>
  </r>
  <r>
    <x v="2"/>
    <x v="2"/>
    <x v="0"/>
    <x v="1"/>
    <x v="2"/>
    <x v="0"/>
    <x v="2"/>
    <x v="2"/>
    <x v="2"/>
    <x v="2"/>
    <x v="2"/>
    <x v="2"/>
    <x v="2"/>
    <x v="2"/>
    <x v="2"/>
    <x v="0"/>
    <x v="1"/>
  </r>
  <r>
    <x v="3"/>
    <x v="3"/>
    <x v="1"/>
    <x v="1"/>
    <x v="0"/>
    <x v="1"/>
    <x v="3"/>
    <x v="1"/>
    <x v="3"/>
    <x v="3"/>
    <x v="3"/>
    <x v="3"/>
    <x v="3"/>
    <x v="3"/>
    <x v="3"/>
    <x v="0"/>
    <x v="0"/>
  </r>
  <r>
    <x v="4"/>
    <x v="4"/>
    <x v="1"/>
    <x v="2"/>
    <x v="3"/>
    <x v="2"/>
    <x v="4"/>
    <x v="3"/>
    <x v="4"/>
    <x v="4"/>
    <x v="3"/>
    <x v="4"/>
    <x v="2"/>
    <x v="4"/>
    <x v="4"/>
    <x v="0"/>
    <x v="1"/>
  </r>
  <r>
    <x v="5"/>
    <x v="5"/>
    <x v="1"/>
    <x v="2"/>
    <x v="4"/>
    <x v="3"/>
    <x v="5"/>
    <x v="4"/>
    <x v="5"/>
    <x v="5"/>
    <x v="4"/>
    <x v="5"/>
    <x v="4"/>
    <x v="5"/>
    <x v="5"/>
    <x v="0"/>
    <x v="0"/>
  </r>
  <r>
    <x v="6"/>
    <x v="6"/>
    <x v="1"/>
    <x v="3"/>
    <x v="0"/>
    <x v="1"/>
    <x v="3"/>
    <x v="5"/>
    <x v="6"/>
    <x v="6"/>
    <x v="5"/>
    <x v="6"/>
    <x v="5"/>
    <x v="6"/>
    <x v="6"/>
    <x v="0"/>
    <x v="0"/>
  </r>
  <r>
    <x v="7"/>
    <x v="7"/>
    <x v="1"/>
    <x v="0"/>
    <x v="1"/>
    <x v="4"/>
    <x v="1"/>
    <x v="6"/>
    <x v="7"/>
    <x v="7"/>
    <x v="1"/>
    <x v="7"/>
    <x v="6"/>
    <x v="7"/>
    <x v="7"/>
    <x v="0"/>
    <x v="0"/>
  </r>
  <r>
    <x v="8"/>
    <x v="8"/>
    <x v="1"/>
    <x v="0"/>
    <x v="5"/>
    <x v="4"/>
    <x v="6"/>
    <x v="7"/>
    <x v="8"/>
    <x v="7"/>
    <x v="6"/>
    <x v="8"/>
    <x v="7"/>
    <x v="8"/>
    <x v="8"/>
    <x v="0"/>
    <x v="0"/>
  </r>
  <r>
    <x v="9"/>
    <x v="9"/>
    <x v="0"/>
    <x v="1"/>
    <x v="3"/>
    <x v="5"/>
    <x v="2"/>
    <x v="8"/>
    <x v="9"/>
    <x v="8"/>
    <x v="7"/>
    <x v="9"/>
    <x v="8"/>
    <x v="9"/>
    <x v="9"/>
    <x v="0"/>
    <x v="0"/>
  </r>
  <r>
    <x v="10"/>
    <x v="10"/>
    <x v="1"/>
    <x v="0"/>
    <x v="1"/>
    <x v="1"/>
    <x v="7"/>
    <x v="9"/>
    <x v="9"/>
    <x v="5"/>
    <x v="8"/>
    <x v="10"/>
    <x v="9"/>
    <x v="10"/>
    <x v="10"/>
    <x v="0"/>
    <x v="0"/>
  </r>
  <r>
    <x v="11"/>
    <x v="11"/>
    <x v="1"/>
    <x v="4"/>
    <x v="4"/>
    <x v="4"/>
    <x v="8"/>
    <x v="10"/>
    <x v="10"/>
    <x v="2"/>
    <x v="8"/>
    <x v="11"/>
    <x v="10"/>
    <x v="11"/>
    <x v="11"/>
    <x v="0"/>
    <x v="1"/>
  </r>
  <r>
    <x v="12"/>
    <x v="12"/>
    <x v="1"/>
    <x v="4"/>
    <x v="4"/>
    <x v="5"/>
    <x v="9"/>
    <x v="10"/>
    <x v="11"/>
    <x v="9"/>
    <x v="9"/>
    <x v="5"/>
    <x v="0"/>
    <x v="12"/>
    <x v="12"/>
    <x v="0"/>
    <x v="1"/>
  </r>
  <r>
    <x v="13"/>
    <x v="13"/>
    <x v="1"/>
    <x v="0"/>
    <x v="3"/>
    <x v="6"/>
    <x v="10"/>
    <x v="11"/>
    <x v="4"/>
    <x v="10"/>
    <x v="4"/>
    <x v="10"/>
    <x v="11"/>
    <x v="13"/>
    <x v="13"/>
    <x v="0"/>
    <x v="1"/>
  </r>
  <r>
    <x v="14"/>
    <x v="14"/>
    <x v="0"/>
    <x v="1"/>
    <x v="1"/>
    <x v="2"/>
    <x v="11"/>
    <x v="4"/>
    <x v="12"/>
    <x v="3"/>
    <x v="4"/>
    <x v="12"/>
    <x v="12"/>
    <x v="14"/>
    <x v="14"/>
    <x v="0"/>
    <x v="1"/>
  </r>
  <r>
    <x v="15"/>
    <x v="15"/>
    <x v="0"/>
    <x v="2"/>
    <x v="3"/>
    <x v="5"/>
    <x v="12"/>
    <x v="11"/>
    <x v="13"/>
    <x v="11"/>
    <x v="10"/>
    <x v="6"/>
    <x v="13"/>
    <x v="15"/>
    <x v="15"/>
    <x v="0"/>
    <x v="0"/>
  </r>
  <r>
    <x v="16"/>
    <x v="16"/>
    <x v="0"/>
    <x v="3"/>
    <x v="5"/>
    <x v="5"/>
    <x v="3"/>
    <x v="12"/>
    <x v="14"/>
    <x v="12"/>
    <x v="11"/>
    <x v="13"/>
    <x v="14"/>
    <x v="16"/>
    <x v="16"/>
    <x v="0"/>
    <x v="1"/>
  </r>
  <r>
    <x v="17"/>
    <x v="17"/>
    <x v="0"/>
    <x v="3"/>
    <x v="2"/>
    <x v="1"/>
    <x v="13"/>
    <x v="13"/>
    <x v="15"/>
    <x v="13"/>
    <x v="12"/>
    <x v="14"/>
    <x v="15"/>
    <x v="17"/>
    <x v="17"/>
    <x v="0"/>
    <x v="1"/>
  </r>
  <r>
    <x v="18"/>
    <x v="2"/>
    <x v="0"/>
    <x v="0"/>
    <x v="1"/>
    <x v="1"/>
    <x v="12"/>
    <x v="14"/>
    <x v="16"/>
    <x v="5"/>
    <x v="13"/>
    <x v="4"/>
    <x v="7"/>
    <x v="18"/>
    <x v="18"/>
    <x v="0"/>
    <x v="1"/>
  </r>
  <r>
    <x v="19"/>
    <x v="18"/>
    <x v="0"/>
    <x v="4"/>
    <x v="5"/>
    <x v="2"/>
    <x v="14"/>
    <x v="15"/>
    <x v="7"/>
    <x v="14"/>
    <x v="14"/>
    <x v="14"/>
    <x v="1"/>
    <x v="19"/>
    <x v="19"/>
    <x v="0"/>
    <x v="1"/>
  </r>
  <r>
    <x v="20"/>
    <x v="19"/>
    <x v="1"/>
    <x v="0"/>
    <x v="4"/>
    <x v="6"/>
    <x v="11"/>
    <x v="16"/>
    <x v="17"/>
    <x v="15"/>
    <x v="13"/>
    <x v="15"/>
    <x v="16"/>
    <x v="13"/>
    <x v="13"/>
    <x v="0"/>
    <x v="1"/>
  </r>
  <r>
    <x v="21"/>
    <x v="20"/>
    <x v="0"/>
    <x v="3"/>
    <x v="5"/>
    <x v="3"/>
    <x v="15"/>
    <x v="17"/>
    <x v="18"/>
    <x v="16"/>
    <x v="5"/>
    <x v="8"/>
    <x v="9"/>
    <x v="20"/>
    <x v="20"/>
    <x v="0"/>
    <x v="0"/>
  </r>
  <r>
    <x v="22"/>
    <x v="21"/>
    <x v="0"/>
    <x v="2"/>
    <x v="2"/>
    <x v="4"/>
    <x v="16"/>
    <x v="5"/>
    <x v="19"/>
    <x v="17"/>
    <x v="15"/>
    <x v="16"/>
    <x v="16"/>
    <x v="15"/>
    <x v="15"/>
    <x v="0"/>
    <x v="0"/>
  </r>
  <r>
    <x v="23"/>
    <x v="22"/>
    <x v="0"/>
    <x v="3"/>
    <x v="3"/>
    <x v="1"/>
    <x v="17"/>
    <x v="18"/>
    <x v="20"/>
    <x v="18"/>
    <x v="16"/>
    <x v="17"/>
    <x v="17"/>
    <x v="21"/>
    <x v="21"/>
    <x v="0"/>
    <x v="1"/>
  </r>
  <r>
    <x v="24"/>
    <x v="23"/>
    <x v="1"/>
    <x v="0"/>
    <x v="1"/>
    <x v="2"/>
    <x v="11"/>
    <x v="10"/>
    <x v="21"/>
    <x v="19"/>
    <x v="17"/>
    <x v="2"/>
    <x v="18"/>
    <x v="22"/>
    <x v="22"/>
    <x v="0"/>
    <x v="1"/>
  </r>
  <r>
    <x v="25"/>
    <x v="24"/>
    <x v="1"/>
    <x v="2"/>
    <x v="0"/>
    <x v="3"/>
    <x v="18"/>
    <x v="19"/>
    <x v="22"/>
    <x v="20"/>
    <x v="18"/>
    <x v="18"/>
    <x v="19"/>
    <x v="23"/>
    <x v="23"/>
    <x v="0"/>
    <x v="1"/>
  </r>
  <r>
    <x v="26"/>
    <x v="25"/>
    <x v="0"/>
    <x v="1"/>
    <x v="5"/>
    <x v="2"/>
    <x v="19"/>
    <x v="11"/>
    <x v="23"/>
    <x v="2"/>
    <x v="19"/>
    <x v="19"/>
    <x v="19"/>
    <x v="24"/>
    <x v="24"/>
    <x v="0"/>
    <x v="0"/>
  </r>
  <r>
    <x v="27"/>
    <x v="17"/>
    <x v="0"/>
    <x v="0"/>
    <x v="4"/>
    <x v="4"/>
    <x v="4"/>
    <x v="13"/>
    <x v="4"/>
    <x v="21"/>
    <x v="16"/>
    <x v="10"/>
    <x v="19"/>
    <x v="25"/>
    <x v="25"/>
    <x v="0"/>
    <x v="1"/>
  </r>
  <r>
    <x v="28"/>
    <x v="1"/>
    <x v="1"/>
    <x v="3"/>
    <x v="2"/>
    <x v="4"/>
    <x v="15"/>
    <x v="18"/>
    <x v="24"/>
    <x v="13"/>
    <x v="20"/>
    <x v="20"/>
    <x v="20"/>
    <x v="26"/>
    <x v="26"/>
    <x v="1"/>
    <x v="2"/>
  </r>
  <r>
    <x v="29"/>
    <x v="26"/>
    <x v="0"/>
    <x v="0"/>
    <x v="3"/>
    <x v="2"/>
    <x v="3"/>
    <x v="19"/>
    <x v="25"/>
    <x v="22"/>
    <x v="16"/>
    <x v="21"/>
    <x v="10"/>
    <x v="17"/>
    <x v="17"/>
    <x v="0"/>
    <x v="1"/>
  </r>
  <r>
    <x v="30"/>
    <x v="27"/>
    <x v="0"/>
    <x v="0"/>
    <x v="1"/>
    <x v="0"/>
    <x v="20"/>
    <x v="20"/>
    <x v="0"/>
    <x v="6"/>
    <x v="7"/>
    <x v="2"/>
    <x v="19"/>
    <x v="27"/>
    <x v="27"/>
    <x v="0"/>
    <x v="0"/>
  </r>
  <r>
    <x v="31"/>
    <x v="28"/>
    <x v="0"/>
    <x v="1"/>
    <x v="1"/>
    <x v="0"/>
    <x v="12"/>
    <x v="21"/>
    <x v="1"/>
    <x v="23"/>
    <x v="21"/>
    <x v="22"/>
    <x v="4"/>
    <x v="28"/>
    <x v="28"/>
    <x v="0"/>
    <x v="1"/>
  </r>
  <r>
    <x v="32"/>
    <x v="29"/>
    <x v="1"/>
    <x v="2"/>
    <x v="5"/>
    <x v="2"/>
    <x v="21"/>
    <x v="22"/>
    <x v="4"/>
    <x v="21"/>
    <x v="12"/>
    <x v="9"/>
    <x v="21"/>
    <x v="29"/>
    <x v="29"/>
    <x v="0"/>
    <x v="1"/>
  </r>
  <r>
    <x v="33"/>
    <x v="30"/>
    <x v="0"/>
    <x v="1"/>
    <x v="0"/>
    <x v="4"/>
    <x v="22"/>
    <x v="17"/>
    <x v="13"/>
    <x v="24"/>
    <x v="3"/>
    <x v="9"/>
    <x v="7"/>
    <x v="30"/>
    <x v="30"/>
    <x v="0"/>
    <x v="1"/>
  </r>
  <r>
    <x v="34"/>
    <x v="2"/>
    <x v="1"/>
    <x v="2"/>
    <x v="4"/>
    <x v="0"/>
    <x v="3"/>
    <x v="0"/>
    <x v="9"/>
    <x v="23"/>
    <x v="13"/>
    <x v="23"/>
    <x v="13"/>
    <x v="31"/>
    <x v="31"/>
    <x v="0"/>
    <x v="1"/>
  </r>
  <r>
    <x v="35"/>
    <x v="31"/>
    <x v="1"/>
    <x v="4"/>
    <x v="0"/>
    <x v="7"/>
    <x v="1"/>
    <x v="12"/>
    <x v="26"/>
    <x v="20"/>
    <x v="22"/>
    <x v="1"/>
    <x v="19"/>
    <x v="32"/>
    <x v="32"/>
    <x v="0"/>
    <x v="0"/>
  </r>
  <r>
    <x v="36"/>
    <x v="32"/>
    <x v="1"/>
    <x v="4"/>
    <x v="1"/>
    <x v="2"/>
    <x v="17"/>
    <x v="22"/>
    <x v="20"/>
    <x v="25"/>
    <x v="23"/>
    <x v="24"/>
    <x v="10"/>
    <x v="33"/>
    <x v="33"/>
    <x v="0"/>
    <x v="1"/>
  </r>
  <r>
    <x v="37"/>
    <x v="21"/>
    <x v="0"/>
    <x v="4"/>
    <x v="4"/>
    <x v="3"/>
    <x v="8"/>
    <x v="0"/>
    <x v="27"/>
    <x v="26"/>
    <x v="19"/>
    <x v="15"/>
    <x v="22"/>
    <x v="34"/>
    <x v="34"/>
    <x v="0"/>
    <x v="3"/>
  </r>
  <r>
    <x v="38"/>
    <x v="33"/>
    <x v="0"/>
    <x v="3"/>
    <x v="5"/>
    <x v="0"/>
    <x v="6"/>
    <x v="23"/>
    <x v="28"/>
    <x v="10"/>
    <x v="4"/>
    <x v="2"/>
    <x v="23"/>
    <x v="35"/>
    <x v="35"/>
    <x v="0"/>
    <x v="1"/>
  </r>
  <r>
    <x v="39"/>
    <x v="34"/>
    <x v="0"/>
    <x v="1"/>
    <x v="2"/>
    <x v="6"/>
    <x v="12"/>
    <x v="16"/>
    <x v="17"/>
    <x v="27"/>
    <x v="17"/>
    <x v="25"/>
    <x v="24"/>
    <x v="36"/>
    <x v="36"/>
    <x v="0"/>
    <x v="0"/>
  </r>
  <r>
    <x v="40"/>
    <x v="35"/>
    <x v="0"/>
    <x v="0"/>
    <x v="0"/>
    <x v="0"/>
    <x v="3"/>
    <x v="10"/>
    <x v="16"/>
    <x v="14"/>
    <x v="3"/>
    <x v="24"/>
    <x v="11"/>
    <x v="37"/>
    <x v="37"/>
    <x v="0"/>
    <x v="1"/>
  </r>
  <r>
    <x v="41"/>
    <x v="36"/>
    <x v="0"/>
    <x v="0"/>
    <x v="4"/>
    <x v="6"/>
    <x v="12"/>
    <x v="24"/>
    <x v="29"/>
    <x v="28"/>
    <x v="24"/>
    <x v="12"/>
    <x v="25"/>
    <x v="38"/>
    <x v="38"/>
    <x v="1"/>
    <x v="2"/>
  </r>
  <r>
    <x v="42"/>
    <x v="37"/>
    <x v="0"/>
    <x v="4"/>
    <x v="0"/>
    <x v="4"/>
    <x v="23"/>
    <x v="0"/>
    <x v="26"/>
    <x v="29"/>
    <x v="3"/>
    <x v="23"/>
    <x v="26"/>
    <x v="39"/>
    <x v="39"/>
    <x v="0"/>
    <x v="0"/>
  </r>
  <r>
    <x v="43"/>
    <x v="38"/>
    <x v="0"/>
    <x v="0"/>
    <x v="5"/>
    <x v="2"/>
    <x v="11"/>
    <x v="25"/>
    <x v="30"/>
    <x v="20"/>
    <x v="25"/>
    <x v="26"/>
    <x v="10"/>
    <x v="33"/>
    <x v="33"/>
    <x v="0"/>
    <x v="1"/>
  </r>
  <r>
    <x v="44"/>
    <x v="39"/>
    <x v="1"/>
    <x v="4"/>
    <x v="2"/>
    <x v="5"/>
    <x v="6"/>
    <x v="26"/>
    <x v="17"/>
    <x v="30"/>
    <x v="14"/>
    <x v="2"/>
    <x v="12"/>
    <x v="40"/>
    <x v="40"/>
    <x v="0"/>
    <x v="1"/>
  </r>
  <r>
    <x v="45"/>
    <x v="40"/>
    <x v="0"/>
    <x v="0"/>
    <x v="0"/>
    <x v="1"/>
    <x v="0"/>
    <x v="27"/>
    <x v="31"/>
    <x v="31"/>
    <x v="16"/>
    <x v="27"/>
    <x v="8"/>
    <x v="41"/>
    <x v="41"/>
    <x v="0"/>
    <x v="0"/>
  </r>
  <r>
    <x v="46"/>
    <x v="41"/>
    <x v="1"/>
    <x v="0"/>
    <x v="0"/>
    <x v="5"/>
    <x v="16"/>
    <x v="18"/>
    <x v="4"/>
    <x v="18"/>
    <x v="26"/>
    <x v="9"/>
    <x v="11"/>
    <x v="42"/>
    <x v="42"/>
    <x v="0"/>
    <x v="1"/>
  </r>
  <r>
    <x v="47"/>
    <x v="42"/>
    <x v="1"/>
    <x v="0"/>
    <x v="1"/>
    <x v="1"/>
    <x v="20"/>
    <x v="28"/>
    <x v="2"/>
    <x v="32"/>
    <x v="27"/>
    <x v="13"/>
    <x v="27"/>
    <x v="43"/>
    <x v="43"/>
    <x v="1"/>
    <x v="2"/>
  </r>
  <r>
    <x v="48"/>
    <x v="43"/>
    <x v="1"/>
    <x v="3"/>
    <x v="4"/>
    <x v="0"/>
    <x v="4"/>
    <x v="29"/>
    <x v="32"/>
    <x v="10"/>
    <x v="28"/>
    <x v="19"/>
    <x v="20"/>
    <x v="18"/>
    <x v="18"/>
    <x v="0"/>
    <x v="1"/>
  </r>
  <r>
    <x v="49"/>
    <x v="44"/>
    <x v="0"/>
    <x v="1"/>
    <x v="1"/>
    <x v="4"/>
    <x v="5"/>
    <x v="30"/>
    <x v="33"/>
    <x v="33"/>
    <x v="29"/>
    <x v="28"/>
    <x v="28"/>
    <x v="44"/>
    <x v="44"/>
    <x v="0"/>
    <x v="0"/>
  </r>
  <r>
    <x v="50"/>
    <x v="45"/>
    <x v="1"/>
    <x v="3"/>
    <x v="1"/>
    <x v="7"/>
    <x v="12"/>
    <x v="2"/>
    <x v="11"/>
    <x v="25"/>
    <x v="12"/>
    <x v="17"/>
    <x v="19"/>
    <x v="45"/>
    <x v="45"/>
    <x v="0"/>
    <x v="1"/>
  </r>
  <r>
    <x v="51"/>
    <x v="46"/>
    <x v="0"/>
    <x v="3"/>
    <x v="0"/>
    <x v="6"/>
    <x v="5"/>
    <x v="31"/>
    <x v="20"/>
    <x v="5"/>
    <x v="23"/>
    <x v="29"/>
    <x v="4"/>
    <x v="46"/>
    <x v="46"/>
    <x v="0"/>
    <x v="1"/>
  </r>
  <r>
    <x v="52"/>
    <x v="1"/>
    <x v="1"/>
    <x v="0"/>
    <x v="0"/>
    <x v="7"/>
    <x v="7"/>
    <x v="31"/>
    <x v="1"/>
    <x v="24"/>
    <x v="30"/>
    <x v="30"/>
    <x v="29"/>
    <x v="21"/>
    <x v="21"/>
    <x v="0"/>
    <x v="1"/>
  </r>
  <r>
    <x v="53"/>
    <x v="0"/>
    <x v="1"/>
    <x v="0"/>
    <x v="2"/>
    <x v="2"/>
    <x v="18"/>
    <x v="32"/>
    <x v="3"/>
    <x v="25"/>
    <x v="31"/>
    <x v="31"/>
    <x v="3"/>
    <x v="32"/>
    <x v="32"/>
    <x v="0"/>
    <x v="0"/>
  </r>
  <r>
    <x v="54"/>
    <x v="47"/>
    <x v="0"/>
    <x v="4"/>
    <x v="2"/>
    <x v="7"/>
    <x v="24"/>
    <x v="30"/>
    <x v="34"/>
    <x v="33"/>
    <x v="32"/>
    <x v="23"/>
    <x v="30"/>
    <x v="47"/>
    <x v="47"/>
    <x v="0"/>
    <x v="0"/>
  </r>
  <r>
    <x v="55"/>
    <x v="48"/>
    <x v="0"/>
    <x v="1"/>
    <x v="5"/>
    <x v="3"/>
    <x v="10"/>
    <x v="6"/>
    <x v="10"/>
    <x v="14"/>
    <x v="5"/>
    <x v="4"/>
    <x v="13"/>
    <x v="1"/>
    <x v="1"/>
    <x v="0"/>
    <x v="1"/>
  </r>
  <r>
    <x v="56"/>
    <x v="49"/>
    <x v="1"/>
    <x v="1"/>
    <x v="5"/>
    <x v="0"/>
    <x v="5"/>
    <x v="5"/>
    <x v="23"/>
    <x v="18"/>
    <x v="8"/>
    <x v="10"/>
    <x v="12"/>
    <x v="31"/>
    <x v="31"/>
    <x v="0"/>
    <x v="1"/>
  </r>
  <r>
    <x v="57"/>
    <x v="50"/>
    <x v="1"/>
    <x v="0"/>
    <x v="5"/>
    <x v="3"/>
    <x v="25"/>
    <x v="7"/>
    <x v="23"/>
    <x v="30"/>
    <x v="11"/>
    <x v="32"/>
    <x v="10"/>
    <x v="48"/>
    <x v="48"/>
    <x v="0"/>
    <x v="1"/>
  </r>
  <r>
    <x v="58"/>
    <x v="51"/>
    <x v="1"/>
    <x v="4"/>
    <x v="0"/>
    <x v="7"/>
    <x v="3"/>
    <x v="33"/>
    <x v="20"/>
    <x v="7"/>
    <x v="33"/>
    <x v="24"/>
    <x v="19"/>
    <x v="49"/>
    <x v="49"/>
    <x v="0"/>
    <x v="1"/>
  </r>
  <r>
    <x v="59"/>
    <x v="52"/>
    <x v="1"/>
    <x v="4"/>
    <x v="4"/>
    <x v="6"/>
    <x v="26"/>
    <x v="34"/>
    <x v="30"/>
    <x v="20"/>
    <x v="23"/>
    <x v="16"/>
    <x v="4"/>
    <x v="21"/>
    <x v="21"/>
    <x v="0"/>
    <x v="1"/>
  </r>
  <r>
    <x v="60"/>
    <x v="53"/>
    <x v="1"/>
    <x v="3"/>
    <x v="0"/>
    <x v="2"/>
    <x v="15"/>
    <x v="35"/>
    <x v="35"/>
    <x v="33"/>
    <x v="6"/>
    <x v="15"/>
    <x v="31"/>
    <x v="50"/>
    <x v="50"/>
    <x v="0"/>
    <x v="0"/>
  </r>
  <r>
    <x v="61"/>
    <x v="54"/>
    <x v="1"/>
    <x v="2"/>
    <x v="2"/>
    <x v="6"/>
    <x v="27"/>
    <x v="36"/>
    <x v="9"/>
    <x v="18"/>
    <x v="23"/>
    <x v="9"/>
    <x v="32"/>
    <x v="51"/>
    <x v="51"/>
    <x v="0"/>
    <x v="1"/>
  </r>
  <r>
    <x v="62"/>
    <x v="55"/>
    <x v="0"/>
    <x v="0"/>
    <x v="5"/>
    <x v="0"/>
    <x v="8"/>
    <x v="25"/>
    <x v="30"/>
    <x v="34"/>
    <x v="13"/>
    <x v="12"/>
    <x v="33"/>
    <x v="52"/>
    <x v="52"/>
    <x v="0"/>
    <x v="1"/>
  </r>
  <r>
    <x v="63"/>
    <x v="56"/>
    <x v="0"/>
    <x v="1"/>
    <x v="2"/>
    <x v="6"/>
    <x v="19"/>
    <x v="37"/>
    <x v="0"/>
    <x v="27"/>
    <x v="34"/>
    <x v="31"/>
    <x v="34"/>
    <x v="53"/>
    <x v="53"/>
    <x v="0"/>
    <x v="0"/>
  </r>
  <r>
    <x v="64"/>
    <x v="57"/>
    <x v="0"/>
    <x v="4"/>
    <x v="3"/>
    <x v="3"/>
    <x v="9"/>
    <x v="31"/>
    <x v="17"/>
    <x v="21"/>
    <x v="9"/>
    <x v="4"/>
    <x v="35"/>
    <x v="54"/>
    <x v="54"/>
    <x v="0"/>
    <x v="1"/>
  </r>
  <r>
    <x v="65"/>
    <x v="53"/>
    <x v="0"/>
    <x v="0"/>
    <x v="4"/>
    <x v="0"/>
    <x v="6"/>
    <x v="26"/>
    <x v="36"/>
    <x v="35"/>
    <x v="35"/>
    <x v="31"/>
    <x v="13"/>
    <x v="55"/>
    <x v="55"/>
    <x v="0"/>
    <x v="0"/>
  </r>
  <r>
    <x v="66"/>
    <x v="58"/>
    <x v="0"/>
    <x v="3"/>
    <x v="3"/>
    <x v="4"/>
    <x v="28"/>
    <x v="38"/>
    <x v="16"/>
    <x v="24"/>
    <x v="16"/>
    <x v="24"/>
    <x v="35"/>
    <x v="56"/>
    <x v="56"/>
    <x v="0"/>
    <x v="1"/>
  </r>
  <r>
    <x v="67"/>
    <x v="59"/>
    <x v="1"/>
    <x v="4"/>
    <x v="4"/>
    <x v="5"/>
    <x v="11"/>
    <x v="36"/>
    <x v="23"/>
    <x v="20"/>
    <x v="11"/>
    <x v="12"/>
    <x v="10"/>
    <x v="57"/>
    <x v="57"/>
    <x v="0"/>
    <x v="1"/>
  </r>
  <r>
    <x v="68"/>
    <x v="60"/>
    <x v="1"/>
    <x v="2"/>
    <x v="4"/>
    <x v="0"/>
    <x v="24"/>
    <x v="2"/>
    <x v="17"/>
    <x v="10"/>
    <x v="25"/>
    <x v="27"/>
    <x v="32"/>
    <x v="51"/>
    <x v="51"/>
    <x v="0"/>
    <x v="1"/>
  </r>
  <r>
    <x v="69"/>
    <x v="32"/>
    <x v="1"/>
    <x v="1"/>
    <x v="0"/>
    <x v="0"/>
    <x v="8"/>
    <x v="3"/>
    <x v="37"/>
    <x v="36"/>
    <x v="20"/>
    <x v="13"/>
    <x v="20"/>
    <x v="58"/>
    <x v="58"/>
    <x v="0"/>
    <x v="1"/>
  </r>
  <r>
    <x v="70"/>
    <x v="61"/>
    <x v="1"/>
    <x v="1"/>
    <x v="4"/>
    <x v="1"/>
    <x v="14"/>
    <x v="39"/>
    <x v="38"/>
    <x v="37"/>
    <x v="36"/>
    <x v="12"/>
    <x v="32"/>
    <x v="59"/>
    <x v="59"/>
    <x v="1"/>
    <x v="2"/>
  </r>
  <r>
    <x v="71"/>
    <x v="62"/>
    <x v="1"/>
    <x v="1"/>
    <x v="3"/>
    <x v="6"/>
    <x v="14"/>
    <x v="31"/>
    <x v="22"/>
    <x v="10"/>
    <x v="4"/>
    <x v="33"/>
    <x v="36"/>
    <x v="46"/>
    <x v="46"/>
    <x v="0"/>
    <x v="1"/>
  </r>
  <r>
    <x v="72"/>
    <x v="63"/>
    <x v="0"/>
    <x v="4"/>
    <x v="1"/>
    <x v="7"/>
    <x v="20"/>
    <x v="5"/>
    <x v="23"/>
    <x v="38"/>
    <x v="37"/>
    <x v="4"/>
    <x v="10"/>
    <x v="5"/>
    <x v="5"/>
    <x v="0"/>
    <x v="0"/>
  </r>
  <r>
    <x v="73"/>
    <x v="64"/>
    <x v="1"/>
    <x v="1"/>
    <x v="3"/>
    <x v="6"/>
    <x v="9"/>
    <x v="10"/>
    <x v="39"/>
    <x v="34"/>
    <x v="25"/>
    <x v="25"/>
    <x v="7"/>
    <x v="60"/>
    <x v="60"/>
    <x v="0"/>
    <x v="1"/>
  </r>
  <r>
    <x v="74"/>
    <x v="65"/>
    <x v="1"/>
    <x v="4"/>
    <x v="4"/>
    <x v="0"/>
    <x v="4"/>
    <x v="40"/>
    <x v="9"/>
    <x v="8"/>
    <x v="7"/>
    <x v="19"/>
    <x v="28"/>
    <x v="61"/>
    <x v="61"/>
    <x v="0"/>
    <x v="0"/>
  </r>
  <r>
    <x v="75"/>
    <x v="66"/>
    <x v="0"/>
    <x v="3"/>
    <x v="3"/>
    <x v="0"/>
    <x v="4"/>
    <x v="33"/>
    <x v="40"/>
    <x v="0"/>
    <x v="31"/>
    <x v="34"/>
    <x v="0"/>
    <x v="62"/>
    <x v="62"/>
    <x v="0"/>
    <x v="0"/>
  </r>
  <r>
    <x v="76"/>
    <x v="39"/>
    <x v="1"/>
    <x v="3"/>
    <x v="5"/>
    <x v="6"/>
    <x v="18"/>
    <x v="7"/>
    <x v="0"/>
    <x v="6"/>
    <x v="25"/>
    <x v="14"/>
    <x v="37"/>
    <x v="63"/>
    <x v="63"/>
    <x v="0"/>
    <x v="0"/>
  </r>
  <r>
    <x v="77"/>
    <x v="67"/>
    <x v="0"/>
    <x v="3"/>
    <x v="0"/>
    <x v="2"/>
    <x v="6"/>
    <x v="34"/>
    <x v="41"/>
    <x v="4"/>
    <x v="1"/>
    <x v="11"/>
    <x v="7"/>
    <x v="64"/>
    <x v="64"/>
    <x v="0"/>
    <x v="1"/>
  </r>
  <r>
    <x v="78"/>
    <x v="68"/>
    <x v="1"/>
    <x v="2"/>
    <x v="3"/>
    <x v="4"/>
    <x v="4"/>
    <x v="15"/>
    <x v="42"/>
    <x v="6"/>
    <x v="23"/>
    <x v="19"/>
    <x v="3"/>
    <x v="65"/>
    <x v="65"/>
    <x v="0"/>
    <x v="1"/>
  </r>
  <r>
    <x v="79"/>
    <x v="0"/>
    <x v="0"/>
    <x v="2"/>
    <x v="2"/>
    <x v="7"/>
    <x v="8"/>
    <x v="41"/>
    <x v="43"/>
    <x v="18"/>
    <x v="3"/>
    <x v="35"/>
    <x v="36"/>
    <x v="66"/>
    <x v="66"/>
    <x v="0"/>
    <x v="0"/>
  </r>
  <r>
    <x v="80"/>
    <x v="69"/>
    <x v="0"/>
    <x v="3"/>
    <x v="0"/>
    <x v="3"/>
    <x v="6"/>
    <x v="26"/>
    <x v="23"/>
    <x v="24"/>
    <x v="38"/>
    <x v="8"/>
    <x v="0"/>
    <x v="28"/>
    <x v="28"/>
    <x v="0"/>
    <x v="1"/>
  </r>
  <r>
    <x v="81"/>
    <x v="23"/>
    <x v="1"/>
    <x v="3"/>
    <x v="4"/>
    <x v="7"/>
    <x v="2"/>
    <x v="0"/>
    <x v="27"/>
    <x v="39"/>
    <x v="39"/>
    <x v="36"/>
    <x v="38"/>
    <x v="67"/>
    <x v="67"/>
    <x v="0"/>
    <x v="3"/>
  </r>
  <r>
    <x v="82"/>
    <x v="70"/>
    <x v="0"/>
    <x v="0"/>
    <x v="1"/>
    <x v="2"/>
    <x v="1"/>
    <x v="42"/>
    <x v="13"/>
    <x v="20"/>
    <x v="8"/>
    <x v="6"/>
    <x v="39"/>
    <x v="21"/>
    <x v="21"/>
    <x v="0"/>
    <x v="1"/>
  </r>
  <r>
    <x v="83"/>
    <x v="71"/>
    <x v="0"/>
    <x v="2"/>
    <x v="4"/>
    <x v="7"/>
    <x v="9"/>
    <x v="17"/>
    <x v="20"/>
    <x v="18"/>
    <x v="12"/>
    <x v="29"/>
    <x v="21"/>
    <x v="68"/>
    <x v="68"/>
    <x v="0"/>
    <x v="1"/>
  </r>
  <r>
    <x v="84"/>
    <x v="72"/>
    <x v="1"/>
    <x v="2"/>
    <x v="3"/>
    <x v="1"/>
    <x v="19"/>
    <x v="1"/>
    <x v="1"/>
    <x v="5"/>
    <x v="13"/>
    <x v="37"/>
    <x v="4"/>
    <x v="65"/>
    <x v="65"/>
    <x v="0"/>
    <x v="1"/>
  </r>
  <r>
    <x v="85"/>
    <x v="73"/>
    <x v="1"/>
    <x v="2"/>
    <x v="4"/>
    <x v="1"/>
    <x v="1"/>
    <x v="43"/>
    <x v="11"/>
    <x v="13"/>
    <x v="13"/>
    <x v="38"/>
    <x v="27"/>
    <x v="69"/>
    <x v="69"/>
    <x v="1"/>
    <x v="2"/>
  </r>
  <r>
    <x v="86"/>
    <x v="74"/>
    <x v="0"/>
    <x v="4"/>
    <x v="2"/>
    <x v="7"/>
    <x v="1"/>
    <x v="19"/>
    <x v="4"/>
    <x v="40"/>
    <x v="30"/>
    <x v="24"/>
    <x v="5"/>
    <x v="14"/>
    <x v="14"/>
    <x v="0"/>
    <x v="1"/>
  </r>
  <r>
    <x v="87"/>
    <x v="75"/>
    <x v="0"/>
    <x v="3"/>
    <x v="4"/>
    <x v="5"/>
    <x v="18"/>
    <x v="17"/>
    <x v="44"/>
    <x v="41"/>
    <x v="33"/>
    <x v="29"/>
    <x v="40"/>
    <x v="70"/>
    <x v="70"/>
    <x v="0"/>
    <x v="1"/>
  </r>
  <r>
    <x v="88"/>
    <x v="76"/>
    <x v="0"/>
    <x v="2"/>
    <x v="0"/>
    <x v="2"/>
    <x v="6"/>
    <x v="41"/>
    <x v="8"/>
    <x v="21"/>
    <x v="32"/>
    <x v="15"/>
    <x v="0"/>
    <x v="66"/>
    <x v="66"/>
    <x v="0"/>
    <x v="0"/>
  </r>
  <r>
    <x v="89"/>
    <x v="77"/>
    <x v="0"/>
    <x v="1"/>
    <x v="2"/>
    <x v="7"/>
    <x v="9"/>
    <x v="43"/>
    <x v="1"/>
    <x v="1"/>
    <x v="38"/>
    <x v="6"/>
    <x v="17"/>
    <x v="71"/>
    <x v="71"/>
    <x v="0"/>
    <x v="1"/>
  </r>
  <r>
    <x v="90"/>
    <x v="78"/>
    <x v="0"/>
    <x v="0"/>
    <x v="2"/>
    <x v="3"/>
    <x v="29"/>
    <x v="10"/>
    <x v="12"/>
    <x v="10"/>
    <x v="9"/>
    <x v="21"/>
    <x v="21"/>
    <x v="23"/>
    <x v="23"/>
    <x v="0"/>
    <x v="1"/>
  </r>
  <r>
    <x v="91"/>
    <x v="29"/>
    <x v="0"/>
    <x v="4"/>
    <x v="1"/>
    <x v="2"/>
    <x v="11"/>
    <x v="34"/>
    <x v="4"/>
    <x v="23"/>
    <x v="12"/>
    <x v="21"/>
    <x v="41"/>
    <x v="72"/>
    <x v="72"/>
    <x v="0"/>
    <x v="1"/>
  </r>
  <r>
    <x v="92"/>
    <x v="79"/>
    <x v="1"/>
    <x v="4"/>
    <x v="5"/>
    <x v="2"/>
    <x v="17"/>
    <x v="44"/>
    <x v="4"/>
    <x v="18"/>
    <x v="0"/>
    <x v="23"/>
    <x v="37"/>
    <x v="73"/>
    <x v="73"/>
    <x v="0"/>
    <x v="0"/>
  </r>
  <r>
    <x v="93"/>
    <x v="80"/>
    <x v="0"/>
    <x v="1"/>
    <x v="3"/>
    <x v="1"/>
    <x v="30"/>
    <x v="10"/>
    <x v="15"/>
    <x v="4"/>
    <x v="22"/>
    <x v="4"/>
    <x v="42"/>
    <x v="74"/>
    <x v="74"/>
    <x v="0"/>
    <x v="1"/>
  </r>
  <r>
    <x v="94"/>
    <x v="81"/>
    <x v="1"/>
    <x v="4"/>
    <x v="1"/>
    <x v="7"/>
    <x v="15"/>
    <x v="22"/>
    <x v="19"/>
    <x v="35"/>
    <x v="16"/>
    <x v="22"/>
    <x v="12"/>
    <x v="75"/>
    <x v="75"/>
    <x v="0"/>
    <x v="1"/>
  </r>
  <r>
    <x v="95"/>
    <x v="82"/>
    <x v="0"/>
    <x v="2"/>
    <x v="2"/>
    <x v="7"/>
    <x v="0"/>
    <x v="3"/>
    <x v="20"/>
    <x v="24"/>
    <x v="25"/>
    <x v="11"/>
    <x v="4"/>
    <x v="76"/>
    <x v="76"/>
    <x v="0"/>
    <x v="1"/>
  </r>
  <r>
    <x v="96"/>
    <x v="32"/>
    <x v="1"/>
    <x v="3"/>
    <x v="5"/>
    <x v="0"/>
    <x v="31"/>
    <x v="45"/>
    <x v="45"/>
    <x v="12"/>
    <x v="9"/>
    <x v="29"/>
    <x v="29"/>
    <x v="64"/>
    <x v="64"/>
    <x v="0"/>
    <x v="1"/>
  </r>
  <r>
    <x v="97"/>
    <x v="83"/>
    <x v="0"/>
    <x v="1"/>
    <x v="3"/>
    <x v="0"/>
    <x v="15"/>
    <x v="6"/>
    <x v="46"/>
    <x v="14"/>
    <x v="13"/>
    <x v="1"/>
    <x v="12"/>
    <x v="77"/>
    <x v="77"/>
    <x v="0"/>
    <x v="1"/>
  </r>
  <r>
    <x v="98"/>
    <x v="74"/>
    <x v="1"/>
    <x v="0"/>
    <x v="0"/>
    <x v="5"/>
    <x v="28"/>
    <x v="22"/>
    <x v="38"/>
    <x v="10"/>
    <x v="40"/>
    <x v="11"/>
    <x v="41"/>
    <x v="78"/>
    <x v="78"/>
    <x v="0"/>
    <x v="1"/>
  </r>
  <r>
    <x v="99"/>
    <x v="84"/>
    <x v="1"/>
    <x v="0"/>
    <x v="3"/>
    <x v="5"/>
    <x v="2"/>
    <x v="46"/>
    <x v="33"/>
    <x v="42"/>
    <x v="41"/>
    <x v="39"/>
    <x v="37"/>
    <x v="79"/>
    <x v="79"/>
    <x v="0"/>
    <x v="0"/>
  </r>
  <r>
    <x v="100"/>
    <x v="85"/>
    <x v="1"/>
    <x v="4"/>
    <x v="2"/>
    <x v="5"/>
    <x v="6"/>
    <x v="21"/>
    <x v="24"/>
    <x v="43"/>
    <x v="2"/>
    <x v="20"/>
    <x v="15"/>
    <x v="69"/>
    <x v="69"/>
    <x v="1"/>
    <x v="2"/>
  </r>
  <r>
    <x v="101"/>
    <x v="69"/>
    <x v="0"/>
    <x v="2"/>
    <x v="0"/>
    <x v="0"/>
    <x v="29"/>
    <x v="47"/>
    <x v="2"/>
    <x v="36"/>
    <x v="16"/>
    <x v="10"/>
    <x v="7"/>
    <x v="4"/>
    <x v="4"/>
    <x v="0"/>
    <x v="1"/>
  </r>
  <r>
    <x v="102"/>
    <x v="86"/>
    <x v="0"/>
    <x v="3"/>
    <x v="2"/>
    <x v="3"/>
    <x v="2"/>
    <x v="10"/>
    <x v="23"/>
    <x v="5"/>
    <x v="35"/>
    <x v="25"/>
    <x v="1"/>
    <x v="27"/>
    <x v="27"/>
    <x v="0"/>
    <x v="0"/>
  </r>
  <r>
    <x v="103"/>
    <x v="69"/>
    <x v="0"/>
    <x v="2"/>
    <x v="5"/>
    <x v="1"/>
    <x v="19"/>
    <x v="0"/>
    <x v="47"/>
    <x v="31"/>
    <x v="3"/>
    <x v="28"/>
    <x v="16"/>
    <x v="80"/>
    <x v="80"/>
    <x v="0"/>
    <x v="0"/>
  </r>
  <r>
    <x v="104"/>
    <x v="81"/>
    <x v="1"/>
    <x v="2"/>
    <x v="5"/>
    <x v="6"/>
    <x v="31"/>
    <x v="13"/>
    <x v="36"/>
    <x v="8"/>
    <x v="7"/>
    <x v="17"/>
    <x v="19"/>
    <x v="7"/>
    <x v="7"/>
    <x v="0"/>
    <x v="0"/>
  </r>
  <r>
    <x v="105"/>
    <x v="87"/>
    <x v="0"/>
    <x v="4"/>
    <x v="3"/>
    <x v="0"/>
    <x v="11"/>
    <x v="37"/>
    <x v="21"/>
    <x v="36"/>
    <x v="9"/>
    <x v="22"/>
    <x v="18"/>
    <x v="81"/>
    <x v="81"/>
    <x v="0"/>
    <x v="1"/>
  </r>
  <r>
    <x v="106"/>
    <x v="70"/>
    <x v="1"/>
    <x v="1"/>
    <x v="3"/>
    <x v="1"/>
    <x v="2"/>
    <x v="32"/>
    <x v="48"/>
    <x v="38"/>
    <x v="8"/>
    <x v="2"/>
    <x v="28"/>
    <x v="82"/>
    <x v="82"/>
    <x v="0"/>
    <x v="0"/>
  </r>
  <r>
    <x v="107"/>
    <x v="88"/>
    <x v="1"/>
    <x v="2"/>
    <x v="1"/>
    <x v="4"/>
    <x v="3"/>
    <x v="20"/>
    <x v="47"/>
    <x v="30"/>
    <x v="37"/>
    <x v="27"/>
    <x v="36"/>
    <x v="73"/>
    <x v="73"/>
    <x v="0"/>
    <x v="0"/>
  </r>
  <r>
    <x v="108"/>
    <x v="89"/>
    <x v="0"/>
    <x v="1"/>
    <x v="1"/>
    <x v="2"/>
    <x v="30"/>
    <x v="15"/>
    <x v="46"/>
    <x v="3"/>
    <x v="4"/>
    <x v="7"/>
    <x v="17"/>
    <x v="24"/>
    <x v="24"/>
    <x v="0"/>
    <x v="0"/>
  </r>
  <r>
    <x v="109"/>
    <x v="44"/>
    <x v="1"/>
    <x v="0"/>
    <x v="2"/>
    <x v="3"/>
    <x v="32"/>
    <x v="24"/>
    <x v="32"/>
    <x v="44"/>
    <x v="14"/>
    <x v="27"/>
    <x v="10"/>
    <x v="54"/>
    <x v="54"/>
    <x v="0"/>
    <x v="1"/>
  </r>
  <r>
    <x v="110"/>
    <x v="87"/>
    <x v="1"/>
    <x v="1"/>
    <x v="4"/>
    <x v="0"/>
    <x v="20"/>
    <x v="17"/>
    <x v="42"/>
    <x v="18"/>
    <x v="7"/>
    <x v="3"/>
    <x v="37"/>
    <x v="83"/>
    <x v="83"/>
    <x v="0"/>
    <x v="0"/>
  </r>
  <r>
    <x v="111"/>
    <x v="1"/>
    <x v="0"/>
    <x v="1"/>
    <x v="4"/>
    <x v="3"/>
    <x v="33"/>
    <x v="0"/>
    <x v="35"/>
    <x v="31"/>
    <x v="30"/>
    <x v="39"/>
    <x v="8"/>
    <x v="84"/>
    <x v="84"/>
    <x v="0"/>
    <x v="0"/>
  </r>
  <r>
    <x v="112"/>
    <x v="59"/>
    <x v="0"/>
    <x v="4"/>
    <x v="0"/>
    <x v="7"/>
    <x v="10"/>
    <x v="2"/>
    <x v="28"/>
    <x v="19"/>
    <x v="4"/>
    <x v="40"/>
    <x v="29"/>
    <x v="85"/>
    <x v="85"/>
    <x v="0"/>
    <x v="1"/>
  </r>
  <r>
    <x v="113"/>
    <x v="51"/>
    <x v="1"/>
    <x v="1"/>
    <x v="4"/>
    <x v="7"/>
    <x v="30"/>
    <x v="29"/>
    <x v="22"/>
    <x v="45"/>
    <x v="20"/>
    <x v="41"/>
    <x v="18"/>
    <x v="86"/>
    <x v="86"/>
    <x v="1"/>
    <x v="2"/>
  </r>
  <r>
    <x v="114"/>
    <x v="1"/>
    <x v="0"/>
    <x v="1"/>
    <x v="2"/>
    <x v="4"/>
    <x v="23"/>
    <x v="4"/>
    <x v="4"/>
    <x v="46"/>
    <x v="23"/>
    <x v="30"/>
    <x v="18"/>
    <x v="17"/>
    <x v="17"/>
    <x v="0"/>
    <x v="1"/>
  </r>
  <r>
    <x v="115"/>
    <x v="90"/>
    <x v="0"/>
    <x v="2"/>
    <x v="4"/>
    <x v="1"/>
    <x v="0"/>
    <x v="9"/>
    <x v="19"/>
    <x v="32"/>
    <x v="8"/>
    <x v="42"/>
    <x v="43"/>
    <x v="57"/>
    <x v="57"/>
    <x v="0"/>
    <x v="1"/>
  </r>
  <r>
    <x v="116"/>
    <x v="91"/>
    <x v="0"/>
    <x v="3"/>
    <x v="5"/>
    <x v="3"/>
    <x v="22"/>
    <x v="7"/>
    <x v="23"/>
    <x v="11"/>
    <x v="14"/>
    <x v="43"/>
    <x v="23"/>
    <x v="18"/>
    <x v="18"/>
    <x v="0"/>
    <x v="1"/>
  </r>
  <r>
    <x v="117"/>
    <x v="6"/>
    <x v="0"/>
    <x v="4"/>
    <x v="5"/>
    <x v="0"/>
    <x v="34"/>
    <x v="36"/>
    <x v="21"/>
    <x v="18"/>
    <x v="26"/>
    <x v="44"/>
    <x v="21"/>
    <x v="51"/>
    <x v="51"/>
    <x v="0"/>
    <x v="1"/>
  </r>
  <r>
    <x v="118"/>
    <x v="92"/>
    <x v="0"/>
    <x v="0"/>
    <x v="4"/>
    <x v="0"/>
    <x v="35"/>
    <x v="12"/>
    <x v="1"/>
    <x v="21"/>
    <x v="37"/>
    <x v="27"/>
    <x v="17"/>
    <x v="87"/>
    <x v="87"/>
    <x v="0"/>
    <x v="1"/>
  </r>
  <r>
    <x v="119"/>
    <x v="3"/>
    <x v="1"/>
    <x v="2"/>
    <x v="4"/>
    <x v="0"/>
    <x v="17"/>
    <x v="32"/>
    <x v="49"/>
    <x v="16"/>
    <x v="42"/>
    <x v="39"/>
    <x v="44"/>
    <x v="88"/>
    <x v="88"/>
    <x v="0"/>
    <x v="0"/>
  </r>
  <r>
    <x v="120"/>
    <x v="84"/>
    <x v="1"/>
    <x v="4"/>
    <x v="2"/>
    <x v="7"/>
    <x v="30"/>
    <x v="48"/>
    <x v="50"/>
    <x v="47"/>
    <x v="43"/>
    <x v="14"/>
    <x v="41"/>
    <x v="89"/>
    <x v="89"/>
    <x v="0"/>
    <x v="1"/>
  </r>
  <r>
    <x v="121"/>
    <x v="93"/>
    <x v="0"/>
    <x v="4"/>
    <x v="1"/>
    <x v="3"/>
    <x v="0"/>
    <x v="12"/>
    <x v="1"/>
    <x v="21"/>
    <x v="44"/>
    <x v="3"/>
    <x v="4"/>
    <x v="90"/>
    <x v="90"/>
    <x v="0"/>
    <x v="0"/>
  </r>
  <r>
    <x v="122"/>
    <x v="83"/>
    <x v="0"/>
    <x v="0"/>
    <x v="5"/>
    <x v="5"/>
    <x v="1"/>
    <x v="3"/>
    <x v="11"/>
    <x v="22"/>
    <x v="45"/>
    <x v="41"/>
    <x v="18"/>
    <x v="91"/>
    <x v="91"/>
    <x v="1"/>
    <x v="2"/>
  </r>
  <r>
    <x v="123"/>
    <x v="94"/>
    <x v="0"/>
    <x v="1"/>
    <x v="2"/>
    <x v="3"/>
    <x v="20"/>
    <x v="37"/>
    <x v="28"/>
    <x v="32"/>
    <x v="3"/>
    <x v="29"/>
    <x v="45"/>
    <x v="92"/>
    <x v="92"/>
    <x v="0"/>
    <x v="1"/>
  </r>
  <r>
    <x v="124"/>
    <x v="95"/>
    <x v="1"/>
    <x v="4"/>
    <x v="1"/>
    <x v="5"/>
    <x v="2"/>
    <x v="32"/>
    <x v="28"/>
    <x v="33"/>
    <x v="25"/>
    <x v="10"/>
    <x v="19"/>
    <x v="10"/>
    <x v="10"/>
    <x v="0"/>
    <x v="0"/>
  </r>
  <r>
    <x v="125"/>
    <x v="96"/>
    <x v="0"/>
    <x v="1"/>
    <x v="4"/>
    <x v="0"/>
    <x v="0"/>
    <x v="42"/>
    <x v="28"/>
    <x v="48"/>
    <x v="1"/>
    <x v="2"/>
    <x v="10"/>
    <x v="19"/>
    <x v="19"/>
    <x v="0"/>
    <x v="1"/>
  </r>
  <r>
    <x v="126"/>
    <x v="97"/>
    <x v="0"/>
    <x v="2"/>
    <x v="2"/>
    <x v="5"/>
    <x v="36"/>
    <x v="0"/>
    <x v="35"/>
    <x v="49"/>
    <x v="46"/>
    <x v="33"/>
    <x v="5"/>
    <x v="93"/>
    <x v="93"/>
    <x v="0"/>
    <x v="0"/>
  </r>
  <r>
    <x v="127"/>
    <x v="98"/>
    <x v="1"/>
    <x v="4"/>
    <x v="0"/>
    <x v="5"/>
    <x v="22"/>
    <x v="40"/>
    <x v="35"/>
    <x v="22"/>
    <x v="23"/>
    <x v="2"/>
    <x v="21"/>
    <x v="94"/>
    <x v="94"/>
    <x v="0"/>
    <x v="1"/>
  </r>
  <r>
    <x v="128"/>
    <x v="32"/>
    <x v="1"/>
    <x v="0"/>
    <x v="3"/>
    <x v="3"/>
    <x v="3"/>
    <x v="49"/>
    <x v="23"/>
    <x v="3"/>
    <x v="1"/>
    <x v="25"/>
    <x v="36"/>
    <x v="40"/>
    <x v="40"/>
    <x v="0"/>
    <x v="1"/>
  </r>
  <r>
    <x v="129"/>
    <x v="15"/>
    <x v="1"/>
    <x v="1"/>
    <x v="1"/>
    <x v="0"/>
    <x v="36"/>
    <x v="14"/>
    <x v="51"/>
    <x v="40"/>
    <x v="47"/>
    <x v="14"/>
    <x v="10"/>
    <x v="95"/>
    <x v="95"/>
    <x v="0"/>
    <x v="1"/>
  </r>
  <r>
    <x v="130"/>
    <x v="99"/>
    <x v="0"/>
    <x v="1"/>
    <x v="3"/>
    <x v="7"/>
    <x v="11"/>
    <x v="50"/>
    <x v="2"/>
    <x v="1"/>
    <x v="8"/>
    <x v="5"/>
    <x v="1"/>
    <x v="85"/>
    <x v="85"/>
    <x v="0"/>
    <x v="1"/>
  </r>
  <r>
    <x v="131"/>
    <x v="41"/>
    <x v="1"/>
    <x v="0"/>
    <x v="0"/>
    <x v="6"/>
    <x v="6"/>
    <x v="49"/>
    <x v="52"/>
    <x v="7"/>
    <x v="34"/>
    <x v="45"/>
    <x v="46"/>
    <x v="96"/>
    <x v="96"/>
    <x v="0"/>
    <x v="3"/>
  </r>
  <r>
    <x v="132"/>
    <x v="100"/>
    <x v="0"/>
    <x v="1"/>
    <x v="1"/>
    <x v="3"/>
    <x v="16"/>
    <x v="29"/>
    <x v="4"/>
    <x v="2"/>
    <x v="20"/>
    <x v="18"/>
    <x v="21"/>
    <x v="97"/>
    <x v="97"/>
    <x v="0"/>
    <x v="1"/>
  </r>
  <r>
    <x v="133"/>
    <x v="73"/>
    <x v="1"/>
    <x v="4"/>
    <x v="1"/>
    <x v="0"/>
    <x v="31"/>
    <x v="51"/>
    <x v="24"/>
    <x v="32"/>
    <x v="8"/>
    <x v="44"/>
    <x v="32"/>
    <x v="58"/>
    <x v="58"/>
    <x v="0"/>
    <x v="1"/>
  </r>
  <r>
    <x v="134"/>
    <x v="101"/>
    <x v="0"/>
    <x v="0"/>
    <x v="5"/>
    <x v="4"/>
    <x v="29"/>
    <x v="27"/>
    <x v="9"/>
    <x v="30"/>
    <x v="48"/>
    <x v="16"/>
    <x v="9"/>
    <x v="98"/>
    <x v="98"/>
    <x v="0"/>
    <x v="0"/>
  </r>
  <r>
    <x v="135"/>
    <x v="74"/>
    <x v="1"/>
    <x v="3"/>
    <x v="2"/>
    <x v="1"/>
    <x v="37"/>
    <x v="18"/>
    <x v="22"/>
    <x v="40"/>
    <x v="49"/>
    <x v="9"/>
    <x v="47"/>
    <x v="99"/>
    <x v="99"/>
    <x v="0"/>
    <x v="1"/>
  </r>
  <r>
    <x v="136"/>
    <x v="102"/>
    <x v="1"/>
    <x v="2"/>
    <x v="4"/>
    <x v="7"/>
    <x v="10"/>
    <x v="15"/>
    <x v="43"/>
    <x v="16"/>
    <x v="6"/>
    <x v="1"/>
    <x v="48"/>
    <x v="100"/>
    <x v="100"/>
    <x v="0"/>
    <x v="0"/>
  </r>
  <r>
    <x v="137"/>
    <x v="22"/>
    <x v="0"/>
    <x v="0"/>
    <x v="0"/>
    <x v="0"/>
    <x v="10"/>
    <x v="23"/>
    <x v="2"/>
    <x v="40"/>
    <x v="50"/>
    <x v="30"/>
    <x v="49"/>
    <x v="12"/>
    <x v="12"/>
    <x v="0"/>
    <x v="1"/>
  </r>
  <r>
    <x v="138"/>
    <x v="103"/>
    <x v="0"/>
    <x v="4"/>
    <x v="4"/>
    <x v="4"/>
    <x v="0"/>
    <x v="0"/>
    <x v="34"/>
    <x v="50"/>
    <x v="46"/>
    <x v="36"/>
    <x v="46"/>
    <x v="101"/>
    <x v="101"/>
    <x v="0"/>
    <x v="0"/>
  </r>
  <r>
    <x v="139"/>
    <x v="94"/>
    <x v="1"/>
    <x v="0"/>
    <x v="1"/>
    <x v="5"/>
    <x v="3"/>
    <x v="7"/>
    <x v="16"/>
    <x v="10"/>
    <x v="35"/>
    <x v="18"/>
    <x v="29"/>
    <x v="23"/>
    <x v="23"/>
    <x v="0"/>
    <x v="1"/>
  </r>
  <r>
    <x v="140"/>
    <x v="104"/>
    <x v="0"/>
    <x v="1"/>
    <x v="1"/>
    <x v="0"/>
    <x v="16"/>
    <x v="50"/>
    <x v="5"/>
    <x v="35"/>
    <x v="51"/>
    <x v="2"/>
    <x v="39"/>
    <x v="102"/>
    <x v="102"/>
    <x v="0"/>
    <x v="1"/>
  </r>
  <r>
    <x v="141"/>
    <x v="11"/>
    <x v="0"/>
    <x v="3"/>
    <x v="3"/>
    <x v="6"/>
    <x v="19"/>
    <x v="27"/>
    <x v="35"/>
    <x v="48"/>
    <x v="34"/>
    <x v="36"/>
    <x v="22"/>
    <x v="53"/>
    <x v="53"/>
    <x v="0"/>
    <x v="0"/>
  </r>
  <r>
    <x v="142"/>
    <x v="48"/>
    <x v="1"/>
    <x v="4"/>
    <x v="2"/>
    <x v="2"/>
    <x v="20"/>
    <x v="36"/>
    <x v="2"/>
    <x v="1"/>
    <x v="13"/>
    <x v="4"/>
    <x v="7"/>
    <x v="22"/>
    <x v="22"/>
    <x v="0"/>
    <x v="1"/>
  </r>
  <r>
    <x v="143"/>
    <x v="105"/>
    <x v="0"/>
    <x v="2"/>
    <x v="3"/>
    <x v="5"/>
    <x v="11"/>
    <x v="8"/>
    <x v="3"/>
    <x v="16"/>
    <x v="10"/>
    <x v="37"/>
    <x v="34"/>
    <x v="103"/>
    <x v="103"/>
    <x v="0"/>
    <x v="0"/>
  </r>
  <r>
    <x v="144"/>
    <x v="42"/>
    <x v="1"/>
    <x v="0"/>
    <x v="4"/>
    <x v="6"/>
    <x v="35"/>
    <x v="10"/>
    <x v="10"/>
    <x v="34"/>
    <x v="26"/>
    <x v="14"/>
    <x v="1"/>
    <x v="102"/>
    <x v="102"/>
    <x v="0"/>
    <x v="1"/>
  </r>
  <r>
    <x v="145"/>
    <x v="106"/>
    <x v="0"/>
    <x v="4"/>
    <x v="3"/>
    <x v="1"/>
    <x v="25"/>
    <x v="46"/>
    <x v="48"/>
    <x v="49"/>
    <x v="52"/>
    <x v="3"/>
    <x v="8"/>
    <x v="79"/>
    <x v="79"/>
    <x v="0"/>
    <x v="0"/>
  </r>
  <r>
    <x v="146"/>
    <x v="107"/>
    <x v="0"/>
    <x v="3"/>
    <x v="3"/>
    <x v="2"/>
    <x v="6"/>
    <x v="43"/>
    <x v="19"/>
    <x v="40"/>
    <x v="53"/>
    <x v="12"/>
    <x v="47"/>
    <x v="104"/>
    <x v="104"/>
    <x v="1"/>
    <x v="2"/>
  </r>
  <r>
    <x v="147"/>
    <x v="76"/>
    <x v="0"/>
    <x v="1"/>
    <x v="5"/>
    <x v="7"/>
    <x v="19"/>
    <x v="31"/>
    <x v="3"/>
    <x v="10"/>
    <x v="54"/>
    <x v="16"/>
    <x v="11"/>
    <x v="105"/>
    <x v="105"/>
    <x v="0"/>
    <x v="1"/>
  </r>
  <r>
    <x v="148"/>
    <x v="108"/>
    <x v="0"/>
    <x v="1"/>
    <x v="4"/>
    <x v="2"/>
    <x v="17"/>
    <x v="19"/>
    <x v="37"/>
    <x v="18"/>
    <x v="54"/>
    <x v="24"/>
    <x v="45"/>
    <x v="106"/>
    <x v="106"/>
    <x v="0"/>
    <x v="1"/>
  </r>
  <r>
    <x v="149"/>
    <x v="109"/>
    <x v="1"/>
    <x v="0"/>
    <x v="1"/>
    <x v="0"/>
    <x v="6"/>
    <x v="12"/>
    <x v="13"/>
    <x v="51"/>
    <x v="9"/>
    <x v="22"/>
    <x v="36"/>
    <x v="23"/>
    <x v="23"/>
    <x v="0"/>
    <x v="1"/>
  </r>
  <r>
    <x v="150"/>
    <x v="110"/>
    <x v="0"/>
    <x v="1"/>
    <x v="5"/>
    <x v="7"/>
    <x v="30"/>
    <x v="52"/>
    <x v="7"/>
    <x v="14"/>
    <x v="32"/>
    <x v="23"/>
    <x v="0"/>
    <x v="7"/>
    <x v="7"/>
    <x v="0"/>
    <x v="0"/>
  </r>
  <r>
    <x v="151"/>
    <x v="100"/>
    <x v="1"/>
    <x v="2"/>
    <x v="5"/>
    <x v="2"/>
    <x v="19"/>
    <x v="53"/>
    <x v="48"/>
    <x v="47"/>
    <x v="37"/>
    <x v="21"/>
    <x v="28"/>
    <x v="9"/>
    <x v="9"/>
    <x v="0"/>
    <x v="0"/>
  </r>
  <r>
    <x v="152"/>
    <x v="111"/>
    <x v="0"/>
    <x v="4"/>
    <x v="0"/>
    <x v="5"/>
    <x v="20"/>
    <x v="22"/>
    <x v="28"/>
    <x v="5"/>
    <x v="14"/>
    <x v="23"/>
    <x v="2"/>
    <x v="87"/>
    <x v="87"/>
    <x v="0"/>
    <x v="1"/>
  </r>
  <r>
    <x v="153"/>
    <x v="112"/>
    <x v="1"/>
    <x v="2"/>
    <x v="5"/>
    <x v="7"/>
    <x v="0"/>
    <x v="10"/>
    <x v="17"/>
    <x v="30"/>
    <x v="32"/>
    <x v="19"/>
    <x v="29"/>
    <x v="107"/>
    <x v="107"/>
    <x v="0"/>
    <x v="0"/>
  </r>
  <r>
    <x v="154"/>
    <x v="23"/>
    <x v="0"/>
    <x v="3"/>
    <x v="0"/>
    <x v="0"/>
    <x v="4"/>
    <x v="11"/>
    <x v="28"/>
    <x v="20"/>
    <x v="7"/>
    <x v="2"/>
    <x v="12"/>
    <x v="65"/>
    <x v="65"/>
    <x v="0"/>
    <x v="1"/>
  </r>
  <r>
    <x v="155"/>
    <x v="99"/>
    <x v="1"/>
    <x v="1"/>
    <x v="5"/>
    <x v="1"/>
    <x v="26"/>
    <x v="22"/>
    <x v="43"/>
    <x v="18"/>
    <x v="34"/>
    <x v="10"/>
    <x v="50"/>
    <x v="108"/>
    <x v="108"/>
    <x v="0"/>
    <x v="0"/>
  </r>
  <r>
    <x v="156"/>
    <x v="113"/>
    <x v="0"/>
    <x v="2"/>
    <x v="1"/>
    <x v="1"/>
    <x v="3"/>
    <x v="54"/>
    <x v="33"/>
    <x v="0"/>
    <x v="55"/>
    <x v="28"/>
    <x v="51"/>
    <x v="109"/>
    <x v="109"/>
    <x v="0"/>
    <x v="0"/>
  </r>
  <r>
    <x v="157"/>
    <x v="114"/>
    <x v="1"/>
    <x v="2"/>
    <x v="3"/>
    <x v="1"/>
    <x v="21"/>
    <x v="46"/>
    <x v="10"/>
    <x v="21"/>
    <x v="46"/>
    <x v="31"/>
    <x v="48"/>
    <x v="61"/>
    <x v="61"/>
    <x v="0"/>
    <x v="0"/>
  </r>
  <r>
    <x v="158"/>
    <x v="115"/>
    <x v="0"/>
    <x v="0"/>
    <x v="1"/>
    <x v="5"/>
    <x v="6"/>
    <x v="26"/>
    <x v="33"/>
    <x v="35"/>
    <x v="56"/>
    <x v="23"/>
    <x v="34"/>
    <x v="20"/>
    <x v="20"/>
    <x v="0"/>
    <x v="0"/>
  </r>
  <r>
    <x v="159"/>
    <x v="103"/>
    <x v="1"/>
    <x v="1"/>
    <x v="4"/>
    <x v="1"/>
    <x v="1"/>
    <x v="41"/>
    <x v="7"/>
    <x v="20"/>
    <x v="16"/>
    <x v="37"/>
    <x v="50"/>
    <x v="31"/>
    <x v="31"/>
    <x v="0"/>
    <x v="1"/>
  </r>
  <r>
    <x v="160"/>
    <x v="116"/>
    <x v="0"/>
    <x v="4"/>
    <x v="2"/>
    <x v="7"/>
    <x v="10"/>
    <x v="55"/>
    <x v="51"/>
    <x v="28"/>
    <x v="26"/>
    <x v="18"/>
    <x v="7"/>
    <x v="99"/>
    <x v="99"/>
    <x v="0"/>
    <x v="1"/>
  </r>
  <r>
    <x v="161"/>
    <x v="117"/>
    <x v="1"/>
    <x v="1"/>
    <x v="5"/>
    <x v="3"/>
    <x v="9"/>
    <x v="11"/>
    <x v="13"/>
    <x v="33"/>
    <x v="28"/>
    <x v="46"/>
    <x v="0"/>
    <x v="7"/>
    <x v="7"/>
    <x v="0"/>
    <x v="0"/>
  </r>
  <r>
    <x v="162"/>
    <x v="20"/>
    <x v="1"/>
    <x v="4"/>
    <x v="0"/>
    <x v="6"/>
    <x v="4"/>
    <x v="41"/>
    <x v="33"/>
    <x v="1"/>
    <x v="26"/>
    <x v="19"/>
    <x v="31"/>
    <x v="110"/>
    <x v="110"/>
    <x v="0"/>
    <x v="0"/>
  </r>
  <r>
    <x v="163"/>
    <x v="19"/>
    <x v="1"/>
    <x v="0"/>
    <x v="0"/>
    <x v="4"/>
    <x v="21"/>
    <x v="53"/>
    <x v="21"/>
    <x v="33"/>
    <x v="7"/>
    <x v="1"/>
    <x v="16"/>
    <x v="9"/>
    <x v="9"/>
    <x v="0"/>
    <x v="0"/>
  </r>
  <r>
    <x v="164"/>
    <x v="118"/>
    <x v="1"/>
    <x v="2"/>
    <x v="4"/>
    <x v="6"/>
    <x v="3"/>
    <x v="40"/>
    <x v="12"/>
    <x v="19"/>
    <x v="32"/>
    <x v="6"/>
    <x v="24"/>
    <x v="63"/>
    <x v="63"/>
    <x v="0"/>
    <x v="0"/>
  </r>
  <r>
    <x v="165"/>
    <x v="119"/>
    <x v="0"/>
    <x v="3"/>
    <x v="2"/>
    <x v="6"/>
    <x v="31"/>
    <x v="37"/>
    <x v="18"/>
    <x v="5"/>
    <x v="50"/>
    <x v="37"/>
    <x v="42"/>
    <x v="8"/>
    <x v="8"/>
    <x v="0"/>
    <x v="0"/>
  </r>
  <r>
    <x v="166"/>
    <x v="32"/>
    <x v="1"/>
    <x v="4"/>
    <x v="2"/>
    <x v="6"/>
    <x v="19"/>
    <x v="0"/>
    <x v="19"/>
    <x v="47"/>
    <x v="30"/>
    <x v="33"/>
    <x v="2"/>
    <x v="111"/>
    <x v="111"/>
    <x v="0"/>
    <x v="1"/>
  </r>
  <r>
    <x v="167"/>
    <x v="94"/>
    <x v="0"/>
    <x v="3"/>
    <x v="2"/>
    <x v="5"/>
    <x v="17"/>
    <x v="9"/>
    <x v="17"/>
    <x v="47"/>
    <x v="7"/>
    <x v="27"/>
    <x v="16"/>
    <x v="107"/>
    <x v="107"/>
    <x v="0"/>
    <x v="0"/>
  </r>
  <r>
    <x v="168"/>
    <x v="118"/>
    <x v="1"/>
    <x v="0"/>
    <x v="0"/>
    <x v="7"/>
    <x v="31"/>
    <x v="28"/>
    <x v="8"/>
    <x v="0"/>
    <x v="7"/>
    <x v="16"/>
    <x v="16"/>
    <x v="112"/>
    <x v="112"/>
    <x v="0"/>
    <x v="0"/>
  </r>
  <r>
    <x v="169"/>
    <x v="109"/>
    <x v="1"/>
    <x v="2"/>
    <x v="3"/>
    <x v="2"/>
    <x v="19"/>
    <x v="3"/>
    <x v="20"/>
    <x v="1"/>
    <x v="20"/>
    <x v="18"/>
    <x v="12"/>
    <x v="92"/>
    <x v="92"/>
    <x v="0"/>
    <x v="1"/>
  </r>
  <r>
    <x v="170"/>
    <x v="120"/>
    <x v="0"/>
    <x v="2"/>
    <x v="0"/>
    <x v="3"/>
    <x v="21"/>
    <x v="12"/>
    <x v="21"/>
    <x v="4"/>
    <x v="25"/>
    <x v="40"/>
    <x v="20"/>
    <x v="48"/>
    <x v="48"/>
    <x v="0"/>
    <x v="1"/>
  </r>
  <r>
    <x v="171"/>
    <x v="85"/>
    <x v="1"/>
    <x v="4"/>
    <x v="5"/>
    <x v="6"/>
    <x v="9"/>
    <x v="27"/>
    <x v="4"/>
    <x v="10"/>
    <x v="31"/>
    <x v="5"/>
    <x v="17"/>
    <x v="30"/>
    <x v="30"/>
    <x v="0"/>
    <x v="1"/>
  </r>
  <r>
    <x v="172"/>
    <x v="121"/>
    <x v="0"/>
    <x v="2"/>
    <x v="4"/>
    <x v="4"/>
    <x v="4"/>
    <x v="16"/>
    <x v="0"/>
    <x v="24"/>
    <x v="12"/>
    <x v="8"/>
    <x v="37"/>
    <x v="83"/>
    <x v="83"/>
    <x v="0"/>
    <x v="0"/>
  </r>
  <r>
    <x v="173"/>
    <x v="119"/>
    <x v="1"/>
    <x v="3"/>
    <x v="4"/>
    <x v="1"/>
    <x v="7"/>
    <x v="18"/>
    <x v="35"/>
    <x v="16"/>
    <x v="17"/>
    <x v="2"/>
    <x v="12"/>
    <x v="87"/>
    <x v="87"/>
    <x v="0"/>
    <x v="1"/>
  </r>
  <r>
    <x v="174"/>
    <x v="76"/>
    <x v="0"/>
    <x v="0"/>
    <x v="2"/>
    <x v="3"/>
    <x v="11"/>
    <x v="49"/>
    <x v="3"/>
    <x v="25"/>
    <x v="17"/>
    <x v="36"/>
    <x v="35"/>
    <x v="19"/>
    <x v="19"/>
    <x v="0"/>
    <x v="1"/>
  </r>
  <r>
    <x v="175"/>
    <x v="122"/>
    <x v="1"/>
    <x v="1"/>
    <x v="0"/>
    <x v="6"/>
    <x v="19"/>
    <x v="52"/>
    <x v="1"/>
    <x v="52"/>
    <x v="50"/>
    <x v="35"/>
    <x v="38"/>
    <x v="0"/>
    <x v="0"/>
    <x v="0"/>
    <x v="0"/>
  </r>
  <r>
    <x v="176"/>
    <x v="47"/>
    <x v="1"/>
    <x v="4"/>
    <x v="5"/>
    <x v="7"/>
    <x v="17"/>
    <x v="56"/>
    <x v="34"/>
    <x v="47"/>
    <x v="56"/>
    <x v="42"/>
    <x v="42"/>
    <x v="113"/>
    <x v="113"/>
    <x v="0"/>
    <x v="0"/>
  </r>
  <r>
    <x v="177"/>
    <x v="123"/>
    <x v="0"/>
    <x v="0"/>
    <x v="3"/>
    <x v="6"/>
    <x v="14"/>
    <x v="9"/>
    <x v="53"/>
    <x v="48"/>
    <x v="41"/>
    <x v="35"/>
    <x v="34"/>
    <x v="114"/>
    <x v="114"/>
    <x v="0"/>
    <x v="0"/>
  </r>
  <r>
    <x v="178"/>
    <x v="23"/>
    <x v="0"/>
    <x v="1"/>
    <x v="0"/>
    <x v="0"/>
    <x v="4"/>
    <x v="27"/>
    <x v="54"/>
    <x v="31"/>
    <x v="3"/>
    <x v="47"/>
    <x v="8"/>
    <x v="115"/>
    <x v="115"/>
    <x v="0"/>
    <x v="0"/>
  </r>
  <r>
    <x v="179"/>
    <x v="124"/>
    <x v="0"/>
    <x v="1"/>
    <x v="2"/>
    <x v="4"/>
    <x v="19"/>
    <x v="32"/>
    <x v="17"/>
    <x v="3"/>
    <x v="50"/>
    <x v="8"/>
    <x v="4"/>
    <x v="36"/>
    <x v="36"/>
    <x v="0"/>
    <x v="0"/>
  </r>
  <r>
    <x v="180"/>
    <x v="50"/>
    <x v="1"/>
    <x v="0"/>
    <x v="3"/>
    <x v="3"/>
    <x v="37"/>
    <x v="41"/>
    <x v="43"/>
    <x v="11"/>
    <x v="18"/>
    <x v="14"/>
    <x v="11"/>
    <x v="68"/>
    <x v="68"/>
    <x v="0"/>
    <x v="1"/>
  </r>
  <r>
    <x v="181"/>
    <x v="110"/>
    <x v="1"/>
    <x v="3"/>
    <x v="0"/>
    <x v="6"/>
    <x v="5"/>
    <x v="32"/>
    <x v="7"/>
    <x v="16"/>
    <x v="30"/>
    <x v="42"/>
    <x v="10"/>
    <x v="10"/>
    <x v="10"/>
    <x v="0"/>
    <x v="0"/>
  </r>
  <r>
    <x v="182"/>
    <x v="125"/>
    <x v="0"/>
    <x v="2"/>
    <x v="1"/>
    <x v="0"/>
    <x v="12"/>
    <x v="10"/>
    <x v="23"/>
    <x v="53"/>
    <x v="14"/>
    <x v="1"/>
    <x v="23"/>
    <x v="51"/>
    <x v="51"/>
    <x v="0"/>
    <x v="1"/>
  </r>
  <r>
    <x v="183"/>
    <x v="126"/>
    <x v="1"/>
    <x v="4"/>
    <x v="0"/>
    <x v="5"/>
    <x v="6"/>
    <x v="33"/>
    <x v="4"/>
    <x v="18"/>
    <x v="51"/>
    <x v="40"/>
    <x v="2"/>
    <x v="18"/>
    <x v="18"/>
    <x v="0"/>
    <x v="1"/>
  </r>
  <r>
    <x v="184"/>
    <x v="82"/>
    <x v="1"/>
    <x v="1"/>
    <x v="3"/>
    <x v="6"/>
    <x v="10"/>
    <x v="25"/>
    <x v="42"/>
    <x v="24"/>
    <x v="8"/>
    <x v="14"/>
    <x v="6"/>
    <x v="76"/>
    <x v="76"/>
    <x v="0"/>
    <x v="1"/>
  </r>
  <r>
    <x v="185"/>
    <x v="113"/>
    <x v="0"/>
    <x v="0"/>
    <x v="3"/>
    <x v="0"/>
    <x v="11"/>
    <x v="49"/>
    <x v="21"/>
    <x v="17"/>
    <x v="12"/>
    <x v="22"/>
    <x v="43"/>
    <x v="116"/>
    <x v="116"/>
    <x v="0"/>
    <x v="1"/>
  </r>
  <r>
    <x v="186"/>
    <x v="9"/>
    <x v="1"/>
    <x v="0"/>
    <x v="3"/>
    <x v="2"/>
    <x v="4"/>
    <x v="37"/>
    <x v="55"/>
    <x v="25"/>
    <x v="16"/>
    <x v="4"/>
    <x v="40"/>
    <x v="117"/>
    <x v="117"/>
    <x v="0"/>
    <x v="1"/>
  </r>
  <r>
    <x v="187"/>
    <x v="127"/>
    <x v="0"/>
    <x v="0"/>
    <x v="2"/>
    <x v="7"/>
    <x v="17"/>
    <x v="57"/>
    <x v="56"/>
    <x v="25"/>
    <x v="8"/>
    <x v="33"/>
    <x v="42"/>
    <x v="94"/>
    <x v="94"/>
    <x v="0"/>
    <x v="1"/>
  </r>
  <r>
    <x v="188"/>
    <x v="121"/>
    <x v="0"/>
    <x v="1"/>
    <x v="5"/>
    <x v="5"/>
    <x v="37"/>
    <x v="12"/>
    <x v="10"/>
    <x v="1"/>
    <x v="51"/>
    <x v="22"/>
    <x v="20"/>
    <x v="12"/>
    <x v="12"/>
    <x v="0"/>
    <x v="1"/>
  </r>
  <r>
    <x v="189"/>
    <x v="81"/>
    <x v="1"/>
    <x v="3"/>
    <x v="4"/>
    <x v="3"/>
    <x v="38"/>
    <x v="32"/>
    <x v="33"/>
    <x v="3"/>
    <x v="10"/>
    <x v="34"/>
    <x v="42"/>
    <x v="118"/>
    <x v="118"/>
    <x v="0"/>
    <x v="0"/>
  </r>
  <r>
    <x v="190"/>
    <x v="128"/>
    <x v="0"/>
    <x v="2"/>
    <x v="4"/>
    <x v="1"/>
    <x v="11"/>
    <x v="4"/>
    <x v="22"/>
    <x v="32"/>
    <x v="8"/>
    <x v="43"/>
    <x v="43"/>
    <x v="119"/>
    <x v="119"/>
    <x v="0"/>
    <x v="1"/>
  </r>
  <r>
    <x v="191"/>
    <x v="60"/>
    <x v="1"/>
    <x v="4"/>
    <x v="2"/>
    <x v="4"/>
    <x v="31"/>
    <x v="36"/>
    <x v="10"/>
    <x v="19"/>
    <x v="54"/>
    <x v="24"/>
    <x v="36"/>
    <x v="11"/>
    <x v="11"/>
    <x v="0"/>
    <x v="1"/>
  </r>
  <r>
    <x v="192"/>
    <x v="85"/>
    <x v="0"/>
    <x v="1"/>
    <x v="4"/>
    <x v="0"/>
    <x v="25"/>
    <x v="14"/>
    <x v="3"/>
    <x v="14"/>
    <x v="33"/>
    <x v="9"/>
    <x v="41"/>
    <x v="68"/>
    <x v="68"/>
    <x v="0"/>
    <x v="1"/>
  </r>
  <r>
    <x v="193"/>
    <x v="13"/>
    <x v="0"/>
    <x v="3"/>
    <x v="0"/>
    <x v="4"/>
    <x v="31"/>
    <x v="34"/>
    <x v="15"/>
    <x v="12"/>
    <x v="33"/>
    <x v="27"/>
    <x v="10"/>
    <x v="120"/>
    <x v="120"/>
    <x v="0"/>
    <x v="1"/>
  </r>
  <r>
    <x v="194"/>
    <x v="101"/>
    <x v="0"/>
    <x v="1"/>
    <x v="4"/>
    <x v="7"/>
    <x v="25"/>
    <x v="44"/>
    <x v="30"/>
    <x v="28"/>
    <x v="38"/>
    <x v="21"/>
    <x v="10"/>
    <x v="121"/>
    <x v="121"/>
    <x v="0"/>
    <x v="1"/>
  </r>
  <r>
    <x v="195"/>
    <x v="80"/>
    <x v="0"/>
    <x v="0"/>
    <x v="1"/>
    <x v="1"/>
    <x v="4"/>
    <x v="58"/>
    <x v="10"/>
    <x v="9"/>
    <x v="28"/>
    <x v="2"/>
    <x v="11"/>
    <x v="97"/>
    <x v="97"/>
    <x v="0"/>
    <x v="1"/>
  </r>
  <r>
    <x v="196"/>
    <x v="12"/>
    <x v="0"/>
    <x v="4"/>
    <x v="5"/>
    <x v="3"/>
    <x v="11"/>
    <x v="31"/>
    <x v="23"/>
    <x v="19"/>
    <x v="8"/>
    <x v="18"/>
    <x v="21"/>
    <x v="51"/>
    <x v="51"/>
    <x v="0"/>
    <x v="1"/>
  </r>
  <r>
    <x v="197"/>
    <x v="51"/>
    <x v="0"/>
    <x v="0"/>
    <x v="5"/>
    <x v="4"/>
    <x v="25"/>
    <x v="50"/>
    <x v="2"/>
    <x v="12"/>
    <x v="47"/>
    <x v="48"/>
    <x v="0"/>
    <x v="2"/>
    <x v="2"/>
    <x v="0"/>
    <x v="1"/>
  </r>
  <r>
    <x v="198"/>
    <x v="129"/>
    <x v="1"/>
    <x v="2"/>
    <x v="3"/>
    <x v="7"/>
    <x v="9"/>
    <x v="32"/>
    <x v="1"/>
    <x v="6"/>
    <x v="50"/>
    <x v="10"/>
    <x v="1"/>
    <x v="122"/>
    <x v="122"/>
    <x v="0"/>
    <x v="0"/>
  </r>
  <r>
    <x v="199"/>
    <x v="85"/>
    <x v="0"/>
    <x v="0"/>
    <x v="0"/>
    <x v="2"/>
    <x v="33"/>
    <x v="20"/>
    <x v="36"/>
    <x v="31"/>
    <x v="41"/>
    <x v="37"/>
    <x v="8"/>
    <x v="123"/>
    <x v="123"/>
    <x v="0"/>
    <x v="0"/>
  </r>
  <r>
    <x v="200"/>
    <x v="130"/>
    <x v="0"/>
    <x v="0"/>
    <x v="4"/>
    <x v="7"/>
    <x v="31"/>
    <x v="22"/>
    <x v="54"/>
    <x v="54"/>
    <x v="30"/>
    <x v="31"/>
    <x v="28"/>
    <x v="41"/>
    <x v="41"/>
    <x v="0"/>
    <x v="0"/>
  </r>
  <r>
    <x v="201"/>
    <x v="115"/>
    <x v="1"/>
    <x v="2"/>
    <x v="0"/>
    <x v="6"/>
    <x v="21"/>
    <x v="32"/>
    <x v="20"/>
    <x v="14"/>
    <x v="37"/>
    <x v="9"/>
    <x v="50"/>
    <x v="124"/>
    <x v="124"/>
    <x v="0"/>
    <x v="1"/>
  </r>
  <r>
    <x v="202"/>
    <x v="68"/>
    <x v="1"/>
    <x v="0"/>
    <x v="4"/>
    <x v="6"/>
    <x v="31"/>
    <x v="15"/>
    <x v="3"/>
    <x v="6"/>
    <x v="16"/>
    <x v="25"/>
    <x v="7"/>
    <x v="10"/>
    <x v="10"/>
    <x v="0"/>
    <x v="0"/>
  </r>
  <r>
    <x v="203"/>
    <x v="131"/>
    <x v="1"/>
    <x v="4"/>
    <x v="2"/>
    <x v="3"/>
    <x v="11"/>
    <x v="25"/>
    <x v="11"/>
    <x v="43"/>
    <x v="28"/>
    <x v="30"/>
    <x v="52"/>
    <x v="125"/>
    <x v="125"/>
    <x v="1"/>
    <x v="2"/>
  </r>
  <r>
    <x v="204"/>
    <x v="42"/>
    <x v="0"/>
    <x v="0"/>
    <x v="4"/>
    <x v="5"/>
    <x v="6"/>
    <x v="50"/>
    <x v="28"/>
    <x v="48"/>
    <x v="29"/>
    <x v="17"/>
    <x v="12"/>
    <x v="63"/>
    <x v="63"/>
    <x v="0"/>
    <x v="0"/>
  </r>
  <r>
    <x v="205"/>
    <x v="108"/>
    <x v="1"/>
    <x v="1"/>
    <x v="5"/>
    <x v="3"/>
    <x v="6"/>
    <x v="43"/>
    <x v="44"/>
    <x v="25"/>
    <x v="29"/>
    <x v="22"/>
    <x v="13"/>
    <x v="87"/>
    <x v="87"/>
    <x v="0"/>
    <x v="1"/>
  </r>
  <r>
    <x v="206"/>
    <x v="132"/>
    <x v="1"/>
    <x v="2"/>
    <x v="0"/>
    <x v="6"/>
    <x v="1"/>
    <x v="0"/>
    <x v="43"/>
    <x v="27"/>
    <x v="35"/>
    <x v="7"/>
    <x v="0"/>
    <x v="126"/>
    <x v="126"/>
    <x v="0"/>
    <x v="0"/>
  </r>
  <r>
    <x v="207"/>
    <x v="133"/>
    <x v="0"/>
    <x v="1"/>
    <x v="0"/>
    <x v="5"/>
    <x v="12"/>
    <x v="16"/>
    <x v="42"/>
    <x v="24"/>
    <x v="57"/>
    <x v="8"/>
    <x v="53"/>
    <x v="87"/>
    <x v="87"/>
    <x v="0"/>
    <x v="1"/>
  </r>
  <r>
    <x v="208"/>
    <x v="134"/>
    <x v="0"/>
    <x v="3"/>
    <x v="0"/>
    <x v="6"/>
    <x v="31"/>
    <x v="43"/>
    <x v="39"/>
    <x v="17"/>
    <x v="20"/>
    <x v="32"/>
    <x v="47"/>
    <x v="127"/>
    <x v="127"/>
    <x v="1"/>
    <x v="2"/>
  </r>
  <r>
    <x v="209"/>
    <x v="135"/>
    <x v="1"/>
    <x v="1"/>
    <x v="3"/>
    <x v="3"/>
    <x v="15"/>
    <x v="7"/>
    <x v="57"/>
    <x v="9"/>
    <x v="25"/>
    <x v="9"/>
    <x v="23"/>
    <x v="95"/>
    <x v="95"/>
    <x v="0"/>
    <x v="1"/>
  </r>
  <r>
    <x v="210"/>
    <x v="136"/>
    <x v="1"/>
    <x v="1"/>
    <x v="2"/>
    <x v="1"/>
    <x v="2"/>
    <x v="44"/>
    <x v="50"/>
    <x v="21"/>
    <x v="9"/>
    <x v="17"/>
    <x v="50"/>
    <x v="23"/>
    <x v="23"/>
    <x v="0"/>
    <x v="1"/>
  </r>
  <r>
    <x v="211"/>
    <x v="135"/>
    <x v="1"/>
    <x v="4"/>
    <x v="0"/>
    <x v="5"/>
    <x v="1"/>
    <x v="10"/>
    <x v="19"/>
    <x v="44"/>
    <x v="14"/>
    <x v="9"/>
    <x v="39"/>
    <x v="128"/>
    <x v="128"/>
    <x v="0"/>
    <x v="1"/>
  </r>
  <r>
    <x v="212"/>
    <x v="10"/>
    <x v="1"/>
    <x v="3"/>
    <x v="3"/>
    <x v="7"/>
    <x v="1"/>
    <x v="0"/>
    <x v="28"/>
    <x v="32"/>
    <x v="3"/>
    <x v="15"/>
    <x v="11"/>
    <x v="129"/>
    <x v="129"/>
    <x v="0"/>
    <x v="1"/>
  </r>
  <r>
    <x v="213"/>
    <x v="137"/>
    <x v="1"/>
    <x v="2"/>
    <x v="4"/>
    <x v="0"/>
    <x v="16"/>
    <x v="28"/>
    <x v="51"/>
    <x v="9"/>
    <x v="20"/>
    <x v="17"/>
    <x v="54"/>
    <x v="130"/>
    <x v="130"/>
    <x v="1"/>
    <x v="2"/>
  </r>
  <r>
    <x v="214"/>
    <x v="12"/>
    <x v="0"/>
    <x v="3"/>
    <x v="2"/>
    <x v="7"/>
    <x v="20"/>
    <x v="29"/>
    <x v="58"/>
    <x v="22"/>
    <x v="47"/>
    <x v="49"/>
    <x v="17"/>
    <x v="131"/>
    <x v="131"/>
    <x v="0"/>
    <x v="1"/>
  </r>
  <r>
    <x v="215"/>
    <x v="138"/>
    <x v="0"/>
    <x v="1"/>
    <x v="1"/>
    <x v="7"/>
    <x v="15"/>
    <x v="21"/>
    <x v="16"/>
    <x v="53"/>
    <x v="53"/>
    <x v="50"/>
    <x v="55"/>
    <x v="132"/>
    <x v="132"/>
    <x v="1"/>
    <x v="2"/>
  </r>
  <r>
    <x v="216"/>
    <x v="105"/>
    <x v="0"/>
    <x v="4"/>
    <x v="1"/>
    <x v="3"/>
    <x v="8"/>
    <x v="33"/>
    <x v="7"/>
    <x v="1"/>
    <x v="46"/>
    <x v="51"/>
    <x v="36"/>
    <x v="133"/>
    <x v="133"/>
    <x v="0"/>
    <x v="0"/>
  </r>
  <r>
    <x v="217"/>
    <x v="78"/>
    <x v="0"/>
    <x v="2"/>
    <x v="1"/>
    <x v="0"/>
    <x v="19"/>
    <x v="36"/>
    <x v="5"/>
    <x v="47"/>
    <x v="22"/>
    <x v="28"/>
    <x v="4"/>
    <x v="103"/>
    <x v="103"/>
    <x v="0"/>
    <x v="0"/>
  </r>
  <r>
    <x v="218"/>
    <x v="120"/>
    <x v="0"/>
    <x v="2"/>
    <x v="5"/>
    <x v="5"/>
    <x v="17"/>
    <x v="30"/>
    <x v="54"/>
    <x v="55"/>
    <x v="46"/>
    <x v="10"/>
    <x v="0"/>
    <x v="118"/>
    <x v="118"/>
    <x v="0"/>
    <x v="0"/>
  </r>
  <r>
    <x v="219"/>
    <x v="51"/>
    <x v="1"/>
    <x v="1"/>
    <x v="1"/>
    <x v="2"/>
    <x v="4"/>
    <x v="6"/>
    <x v="6"/>
    <x v="20"/>
    <x v="35"/>
    <x v="52"/>
    <x v="9"/>
    <x v="115"/>
    <x v="115"/>
    <x v="0"/>
    <x v="0"/>
  </r>
  <r>
    <x v="220"/>
    <x v="139"/>
    <x v="0"/>
    <x v="4"/>
    <x v="1"/>
    <x v="1"/>
    <x v="29"/>
    <x v="43"/>
    <x v="2"/>
    <x v="2"/>
    <x v="11"/>
    <x v="19"/>
    <x v="4"/>
    <x v="33"/>
    <x v="33"/>
    <x v="0"/>
    <x v="1"/>
  </r>
  <r>
    <x v="221"/>
    <x v="50"/>
    <x v="0"/>
    <x v="2"/>
    <x v="0"/>
    <x v="3"/>
    <x v="31"/>
    <x v="43"/>
    <x v="45"/>
    <x v="37"/>
    <x v="24"/>
    <x v="18"/>
    <x v="25"/>
    <x v="134"/>
    <x v="134"/>
    <x v="1"/>
    <x v="2"/>
  </r>
  <r>
    <x v="222"/>
    <x v="15"/>
    <x v="0"/>
    <x v="3"/>
    <x v="0"/>
    <x v="0"/>
    <x v="28"/>
    <x v="20"/>
    <x v="28"/>
    <x v="20"/>
    <x v="7"/>
    <x v="33"/>
    <x v="9"/>
    <x v="10"/>
    <x v="10"/>
    <x v="0"/>
    <x v="0"/>
  </r>
  <r>
    <x v="223"/>
    <x v="42"/>
    <x v="1"/>
    <x v="1"/>
    <x v="5"/>
    <x v="4"/>
    <x v="2"/>
    <x v="49"/>
    <x v="2"/>
    <x v="21"/>
    <x v="14"/>
    <x v="29"/>
    <x v="6"/>
    <x v="124"/>
    <x v="124"/>
    <x v="0"/>
    <x v="1"/>
  </r>
  <r>
    <x v="224"/>
    <x v="72"/>
    <x v="0"/>
    <x v="3"/>
    <x v="1"/>
    <x v="4"/>
    <x v="10"/>
    <x v="0"/>
    <x v="40"/>
    <x v="26"/>
    <x v="39"/>
    <x v="53"/>
    <x v="56"/>
    <x v="135"/>
    <x v="135"/>
    <x v="0"/>
    <x v="3"/>
  </r>
  <r>
    <x v="225"/>
    <x v="140"/>
    <x v="1"/>
    <x v="2"/>
    <x v="4"/>
    <x v="6"/>
    <x v="30"/>
    <x v="15"/>
    <x v="13"/>
    <x v="23"/>
    <x v="33"/>
    <x v="7"/>
    <x v="19"/>
    <x v="65"/>
    <x v="65"/>
    <x v="0"/>
    <x v="1"/>
  </r>
  <r>
    <x v="226"/>
    <x v="141"/>
    <x v="1"/>
    <x v="0"/>
    <x v="1"/>
    <x v="2"/>
    <x v="19"/>
    <x v="51"/>
    <x v="42"/>
    <x v="10"/>
    <x v="33"/>
    <x v="4"/>
    <x v="50"/>
    <x v="29"/>
    <x v="29"/>
    <x v="0"/>
    <x v="1"/>
  </r>
  <r>
    <x v="227"/>
    <x v="142"/>
    <x v="0"/>
    <x v="3"/>
    <x v="0"/>
    <x v="1"/>
    <x v="4"/>
    <x v="15"/>
    <x v="20"/>
    <x v="40"/>
    <x v="16"/>
    <x v="49"/>
    <x v="57"/>
    <x v="136"/>
    <x v="136"/>
    <x v="0"/>
    <x v="1"/>
  </r>
  <r>
    <x v="228"/>
    <x v="143"/>
    <x v="0"/>
    <x v="2"/>
    <x v="2"/>
    <x v="7"/>
    <x v="36"/>
    <x v="2"/>
    <x v="57"/>
    <x v="34"/>
    <x v="49"/>
    <x v="49"/>
    <x v="18"/>
    <x v="137"/>
    <x v="137"/>
    <x v="0"/>
    <x v="1"/>
  </r>
  <r>
    <x v="229"/>
    <x v="57"/>
    <x v="0"/>
    <x v="2"/>
    <x v="1"/>
    <x v="4"/>
    <x v="10"/>
    <x v="13"/>
    <x v="45"/>
    <x v="17"/>
    <x v="38"/>
    <x v="11"/>
    <x v="58"/>
    <x v="131"/>
    <x v="131"/>
    <x v="0"/>
    <x v="1"/>
  </r>
  <r>
    <x v="230"/>
    <x v="63"/>
    <x v="0"/>
    <x v="2"/>
    <x v="1"/>
    <x v="2"/>
    <x v="24"/>
    <x v="26"/>
    <x v="10"/>
    <x v="3"/>
    <x v="22"/>
    <x v="23"/>
    <x v="4"/>
    <x v="10"/>
    <x v="10"/>
    <x v="0"/>
    <x v="0"/>
  </r>
  <r>
    <x v="231"/>
    <x v="144"/>
    <x v="0"/>
    <x v="4"/>
    <x v="0"/>
    <x v="4"/>
    <x v="4"/>
    <x v="34"/>
    <x v="15"/>
    <x v="20"/>
    <x v="30"/>
    <x v="14"/>
    <x v="50"/>
    <x v="74"/>
    <x v="74"/>
    <x v="0"/>
    <x v="1"/>
  </r>
  <r>
    <x v="232"/>
    <x v="2"/>
    <x v="1"/>
    <x v="3"/>
    <x v="0"/>
    <x v="2"/>
    <x v="8"/>
    <x v="31"/>
    <x v="13"/>
    <x v="36"/>
    <x v="52"/>
    <x v="2"/>
    <x v="48"/>
    <x v="138"/>
    <x v="138"/>
    <x v="0"/>
    <x v="1"/>
  </r>
  <r>
    <x v="233"/>
    <x v="145"/>
    <x v="0"/>
    <x v="0"/>
    <x v="5"/>
    <x v="4"/>
    <x v="12"/>
    <x v="7"/>
    <x v="1"/>
    <x v="3"/>
    <x v="10"/>
    <x v="23"/>
    <x v="28"/>
    <x v="139"/>
    <x v="139"/>
    <x v="0"/>
    <x v="0"/>
  </r>
  <r>
    <x v="234"/>
    <x v="2"/>
    <x v="1"/>
    <x v="0"/>
    <x v="3"/>
    <x v="5"/>
    <x v="28"/>
    <x v="22"/>
    <x v="35"/>
    <x v="1"/>
    <x v="43"/>
    <x v="22"/>
    <x v="53"/>
    <x v="128"/>
    <x v="128"/>
    <x v="0"/>
    <x v="1"/>
  </r>
  <r>
    <x v="235"/>
    <x v="146"/>
    <x v="1"/>
    <x v="1"/>
    <x v="1"/>
    <x v="6"/>
    <x v="5"/>
    <x v="50"/>
    <x v="39"/>
    <x v="5"/>
    <x v="9"/>
    <x v="42"/>
    <x v="17"/>
    <x v="29"/>
    <x v="29"/>
    <x v="0"/>
    <x v="1"/>
  </r>
  <r>
    <x v="236"/>
    <x v="147"/>
    <x v="0"/>
    <x v="3"/>
    <x v="3"/>
    <x v="5"/>
    <x v="39"/>
    <x v="10"/>
    <x v="21"/>
    <x v="56"/>
    <x v="47"/>
    <x v="49"/>
    <x v="12"/>
    <x v="81"/>
    <x v="81"/>
    <x v="0"/>
    <x v="1"/>
  </r>
  <r>
    <x v="237"/>
    <x v="75"/>
    <x v="0"/>
    <x v="2"/>
    <x v="2"/>
    <x v="4"/>
    <x v="38"/>
    <x v="55"/>
    <x v="30"/>
    <x v="21"/>
    <x v="26"/>
    <x v="22"/>
    <x v="16"/>
    <x v="105"/>
    <x v="105"/>
    <x v="0"/>
    <x v="1"/>
  </r>
  <r>
    <x v="238"/>
    <x v="27"/>
    <x v="1"/>
    <x v="1"/>
    <x v="2"/>
    <x v="3"/>
    <x v="14"/>
    <x v="30"/>
    <x v="46"/>
    <x v="8"/>
    <x v="31"/>
    <x v="15"/>
    <x v="1"/>
    <x v="140"/>
    <x v="140"/>
    <x v="0"/>
    <x v="0"/>
  </r>
  <r>
    <x v="239"/>
    <x v="28"/>
    <x v="0"/>
    <x v="1"/>
    <x v="5"/>
    <x v="2"/>
    <x v="20"/>
    <x v="6"/>
    <x v="4"/>
    <x v="23"/>
    <x v="12"/>
    <x v="43"/>
    <x v="47"/>
    <x v="70"/>
    <x v="70"/>
    <x v="0"/>
    <x v="1"/>
  </r>
  <r>
    <x v="240"/>
    <x v="56"/>
    <x v="1"/>
    <x v="0"/>
    <x v="3"/>
    <x v="6"/>
    <x v="28"/>
    <x v="31"/>
    <x v="4"/>
    <x v="32"/>
    <x v="7"/>
    <x v="27"/>
    <x v="10"/>
    <x v="105"/>
    <x v="105"/>
    <x v="0"/>
    <x v="1"/>
  </r>
  <r>
    <x v="241"/>
    <x v="49"/>
    <x v="1"/>
    <x v="4"/>
    <x v="1"/>
    <x v="4"/>
    <x v="28"/>
    <x v="50"/>
    <x v="28"/>
    <x v="46"/>
    <x v="14"/>
    <x v="14"/>
    <x v="58"/>
    <x v="141"/>
    <x v="141"/>
    <x v="0"/>
    <x v="1"/>
  </r>
  <r>
    <x v="242"/>
    <x v="119"/>
    <x v="0"/>
    <x v="3"/>
    <x v="3"/>
    <x v="1"/>
    <x v="36"/>
    <x v="47"/>
    <x v="12"/>
    <x v="24"/>
    <x v="46"/>
    <x v="27"/>
    <x v="2"/>
    <x v="138"/>
    <x v="138"/>
    <x v="0"/>
    <x v="1"/>
  </r>
  <r>
    <x v="243"/>
    <x v="45"/>
    <x v="0"/>
    <x v="0"/>
    <x v="0"/>
    <x v="1"/>
    <x v="29"/>
    <x v="7"/>
    <x v="12"/>
    <x v="5"/>
    <x v="10"/>
    <x v="7"/>
    <x v="2"/>
    <x v="10"/>
    <x v="10"/>
    <x v="0"/>
    <x v="0"/>
  </r>
  <r>
    <x v="244"/>
    <x v="46"/>
    <x v="0"/>
    <x v="0"/>
    <x v="3"/>
    <x v="4"/>
    <x v="19"/>
    <x v="10"/>
    <x v="45"/>
    <x v="21"/>
    <x v="51"/>
    <x v="26"/>
    <x v="39"/>
    <x v="142"/>
    <x v="142"/>
    <x v="0"/>
    <x v="1"/>
  </r>
  <r>
    <x v="245"/>
    <x v="148"/>
    <x v="1"/>
    <x v="4"/>
    <x v="5"/>
    <x v="1"/>
    <x v="11"/>
    <x v="56"/>
    <x v="44"/>
    <x v="50"/>
    <x v="56"/>
    <x v="39"/>
    <x v="42"/>
    <x v="50"/>
    <x v="50"/>
    <x v="0"/>
    <x v="0"/>
  </r>
  <r>
    <x v="246"/>
    <x v="7"/>
    <x v="0"/>
    <x v="0"/>
    <x v="2"/>
    <x v="2"/>
    <x v="1"/>
    <x v="34"/>
    <x v="23"/>
    <x v="17"/>
    <x v="10"/>
    <x v="11"/>
    <x v="53"/>
    <x v="72"/>
    <x v="72"/>
    <x v="0"/>
    <x v="1"/>
  </r>
  <r>
    <x v="247"/>
    <x v="113"/>
    <x v="1"/>
    <x v="4"/>
    <x v="5"/>
    <x v="0"/>
    <x v="40"/>
    <x v="10"/>
    <x v="13"/>
    <x v="23"/>
    <x v="7"/>
    <x v="23"/>
    <x v="6"/>
    <x v="143"/>
    <x v="143"/>
    <x v="0"/>
    <x v="0"/>
  </r>
  <r>
    <x v="248"/>
    <x v="101"/>
    <x v="1"/>
    <x v="0"/>
    <x v="3"/>
    <x v="1"/>
    <x v="21"/>
    <x v="16"/>
    <x v="4"/>
    <x v="27"/>
    <x v="1"/>
    <x v="10"/>
    <x v="24"/>
    <x v="15"/>
    <x v="15"/>
    <x v="0"/>
    <x v="0"/>
  </r>
  <r>
    <x v="249"/>
    <x v="129"/>
    <x v="1"/>
    <x v="0"/>
    <x v="0"/>
    <x v="0"/>
    <x v="14"/>
    <x v="57"/>
    <x v="13"/>
    <x v="42"/>
    <x v="29"/>
    <x v="34"/>
    <x v="38"/>
    <x v="144"/>
    <x v="144"/>
    <x v="0"/>
    <x v="0"/>
  </r>
  <r>
    <x v="250"/>
    <x v="149"/>
    <x v="1"/>
    <x v="4"/>
    <x v="2"/>
    <x v="4"/>
    <x v="5"/>
    <x v="3"/>
    <x v="59"/>
    <x v="25"/>
    <x v="38"/>
    <x v="14"/>
    <x v="1"/>
    <x v="19"/>
    <x v="19"/>
    <x v="0"/>
    <x v="1"/>
  </r>
  <r>
    <x v="251"/>
    <x v="59"/>
    <x v="0"/>
    <x v="2"/>
    <x v="2"/>
    <x v="2"/>
    <x v="12"/>
    <x v="7"/>
    <x v="35"/>
    <x v="35"/>
    <x v="56"/>
    <x v="10"/>
    <x v="13"/>
    <x v="8"/>
    <x v="8"/>
    <x v="0"/>
    <x v="0"/>
  </r>
  <r>
    <x v="252"/>
    <x v="116"/>
    <x v="1"/>
    <x v="3"/>
    <x v="4"/>
    <x v="5"/>
    <x v="23"/>
    <x v="40"/>
    <x v="9"/>
    <x v="5"/>
    <x v="5"/>
    <x v="13"/>
    <x v="41"/>
    <x v="21"/>
    <x v="21"/>
    <x v="0"/>
    <x v="1"/>
  </r>
  <r>
    <x v="253"/>
    <x v="31"/>
    <x v="1"/>
    <x v="1"/>
    <x v="5"/>
    <x v="2"/>
    <x v="19"/>
    <x v="11"/>
    <x v="45"/>
    <x v="24"/>
    <x v="50"/>
    <x v="17"/>
    <x v="42"/>
    <x v="71"/>
    <x v="71"/>
    <x v="0"/>
    <x v="1"/>
  </r>
  <r>
    <x v="254"/>
    <x v="100"/>
    <x v="1"/>
    <x v="2"/>
    <x v="3"/>
    <x v="6"/>
    <x v="21"/>
    <x v="44"/>
    <x v="10"/>
    <x v="25"/>
    <x v="26"/>
    <x v="2"/>
    <x v="47"/>
    <x v="33"/>
    <x v="33"/>
    <x v="0"/>
    <x v="1"/>
  </r>
  <r>
    <x v="255"/>
    <x v="150"/>
    <x v="1"/>
    <x v="0"/>
    <x v="2"/>
    <x v="2"/>
    <x v="21"/>
    <x v="3"/>
    <x v="2"/>
    <x v="15"/>
    <x v="17"/>
    <x v="22"/>
    <x v="15"/>
    <x v="81"/>
    <x v="81"/>
    <x v="0"/>
    <x v="1"/>
  </r>
  <r>
    <x v="256"/>
    <x v="52"/>
    <x v="1"/>
    <x v="2"/>
    <x v="1"/>
    <x v="5"/>
    <x v="31"/>
    <x v="13"/>
    <x v="44"/>
    <x v="48"/>
    <x v="50"/>
    <x v="37"/>
    <x v="24"/>
    <x v="63"/>
    <x v="63"/>
    <x v="0"/>
    <x v="0"/>
  </r>
  <r>
    <x v="257"/>
    <x v="151"/>
    <x v="0"/>
    <x v="4"/>
    <x v="4"/>
    <x v="1"/>
    <x v="7"/>
    <x v="36"/>
    <x v="50"/>
    <x v="3"/>
    <x v="13"/>
    <x v="24"/>
    <x v="4"/>
    <x v="72"/>
    <x v="72"/>
    <x v="0"/>
    <x v="1"/>
  </r>
  <r>
    <x v="258"/>
    <x v="152"/>
    <x v="1"/>
    <x v="3"/>
    <x v="4"/>
    <x v="5"/>
    <x v="32"/>
    <x v="30"/>
    <x v="19"/>
    <x v="44"/>
    <x v="11"/>
    <x v="4"/>
    <x v="54"/>
    <x v="17"/>
    <x v="17"/>
    <x v="0"/>
    <x v="1"/>
  </r>
  <r>
    <x v="259"/>
    <x v="153"/>
    <x v="0"/>
    <x v="2"/>
    <x v="2"/>
    <x v="1"/>
    <x v="15"/>
    <x v="9"/>
    <x v="30"/>
    <x v="1"/>
    <x v="23"/>
    <x v="27"/>
    <x v="1"/>
    <x v="76"/>
    <x v="76"/>
    <x v="0"/>
    <x v="1"/>
  </r>
  <r>
    <x v="260"/>
    <x v="86"/>
    <x v="1"/>
    <x v="4"/>
    <x v="1"/>
    <x v="2"/>
    <x v="0"/>
    <x v="11"/>
    <x v="11"/>
    <x v="40"/>
    <x v="17"/>
    <x v="54"/>
    <x v="39"/>
    <x v="16"/>
    <x v="16"/>
    <x v="0"/>
    <x v="1"/>
  </r>
  <r>
    <x v="261"/>
    <x v="154"/>
    <x v="1"/>
    <x v="1"/>
    <x v="5"/>
    <x v="3"/>
    <x v="7"/>
    <x v="25"/>
    <x v="60"/>
    <x v="30"/>
    <x v="5"/>
    <x v="33"/>
    <x v="21"/>
    <x v="74"/>
    <x v="74"/>
    <x v="0"/>
    <x v="1"/>
  </r>
  <r>
    <x v="262"/>
    <x v="145"/>
    <x v="1"/>
    <x v="1"/>
    <x v="5"/>
    <x v="4"/>
    <x v="20"/>
    <x v="16"/>
    <x v="47"/>
    <x v="26"/>
    <x v="58"/>
    <x v="0"/>
    <x v="59"/>
    <x v="145"/>
    <x v="145"/>
    <x v="0"/>
    <x v="3"/>
  </r>
  <r>
    <x v="263"/>
    <x v="155"/>
    <x v="1"/>
    <x v="4"/>
    <x v="0"/>
    <x v="7"/>
    <x v="17"/>
    <x v="43"/>
    <x v="22"/>
    <x v="17"/>
    <x v="9"/>
    <x v="14"/>
    <x v="23"/>
    <x v="146"/>
    <x v="146"/>
    <x v="0"/>
    <x v="1"/>
  </r>
  <r>
    <x v="264"/>
    <x v="114"/>
    <x v="0"/>
    <x v="0"/>
    <x v="4"/>
    <x v="3"/>
    <x v="10"/>
    <x v="6"/>
    <x v="3"/>
    <x v="30"/>
    <x v="15"/>
    <x v="25"/>
    <x v="34"/>
    <x v="112"/>
    <x v="112"/>
    <x v="0"/>
    <x v="0"/>
  </r>
  <r>
    <x v="265"/>
    <x v="24"/>
    <x v="0"/>
    <x v="2"/>
    <x v="3"/>
    <x v="4"/>
    <x v="2"/>
    <x v="9"/>
    <x v="2"/>
    <x v="21"/>
    <x v="59"/>
    <x v="9"/>
    <x v="14"/>
    <x v="70"/>
    <x v="70"/>
    <x v="0"/>
    <x v="1"/>
  </r>
  <r>
    <x v="266"/>
    <x v="156"/>
    <x v="1"/>
    <x v="3"/>
    <x v="1"/>
    <x v="7"/>
    <x v="32"/>
    <x v="21"/>
    <x v="58"/>
    <x v="57"/>
    <x v="43"/>
    <x v="41"/>
    <x v="40"/>
    <x v="147"/>
    <x v="147"/>
    <x v="1"/>
    <x v="2"/>
  </r>
  <r>
    <x v="267"/>
    <x v="7"/>
    <x v="1"/>
    <x v="4"/>
    <x v="5"/>
    <x v="7"/>
    <x v="8"/>
    <x v="12"/>
    <x v="1"/>
    <x v="6"/>
    <x v="26"/>
    <x v="4"/>
    <x v="11"/>
    <x v="1"/>
    <x v="1"/>
    <x v="0"/>
    <x v="1"/>
  </r>
  <r>
    <x v="268"/>
    <x v="51"/>
    <x v="1"/>
    <x v="2"/>
    <x v="3"/>
    <x v="2"/>
    <x v="39"/>
    <x v="7"/>
    <x v="2"/>
    <x v="25"/>
    <x v="7"/>
    <x v="25"/>
    <x v="24"/>
    <x v="25"/>
    <x v="25"/>
    <x v="0"/>
    <x v="1"/>
  </r>
  <r>
    <x v="269"/>
    <x v="149"/>
    <x v="0"/>
    <x v="0"/>
    <x v="5"/>
    <x v="7"/>
    <x v="17"/>
    <x v="19"/>
    <x v="4"/>
    <x v="21"/>
    <x v="15"/>
    <x v="3"/>
    <x v="16"/>
    <x v="7"/>
    <x v="7"/>
    <x v="0"/>
    <x v="0"/>
  </r>
  <r>
    <x v="270"/>
    <x v="89"/>
    <x v="0"/>
    <x v="2"/>
    <x v="4"/>
    <x v="7"/>
    <x v="32"/>
    <x v="5"/>
    <x v="44"/>
    <x v="8"/>
    <x v="10"/>
    <x v="35"/>
    <x v="41"/>
    <x v="10"/>
    <x v="10"/>
    <x v="0"/>
    <x v="0"/>
  </r>
  <r>
    <x v="271"/>
    <x v="157"/>
    <x v="0"/>
    <x v="3"/>
    <x v="1"/>
    <x v="3"/>
    <x v="21"/>
    <x v="31"/>
    <x v="17"/>
    <x v="11"/>
    <x v="12"/>
    <x v="19"/>
    <x v="2"/>
    <x v="49"/>
    <x v="49"/>
    <x v="0"/>
    <x v="1"/>
  </r>
  <r>
    <x v="272"/>
    <x v="158"/>
    <x v="1"/>
    <x v="2"/>
    <x v="3"/>
    <x v="5"/>
    <x v="22"/>
    <x v="26"/>
    <x v="12"/>
    <x v="24"/>
    <x v="17"/>
    <x v="43"/>
    <x v="50"/>
    <x v="60"/>
    <x v="60"/>
    <x v="0"/>
    <x v="1"/>
  </r>
  <r>
    <x v="273"/>
    <x v="159"/>
    <x v="0"/>
    <x v="4"/>
    <x v="0"/>
    <x v="1"/>
    <x v="6"/>
    <x v="59"/>
    <x v="10"/>
    <x v="23"/>
    <x v="60"/>
    <x v="20"/>
    <x v="21"/>
    <x v="99"/>
    <x v="99"/>
    <x v="0"/>
    <x v="1"/>
  </r>
  <r>
    <x v="274"/>
    <x v="47"/>
    <x v="1"/>
    <x v="0"/>
    <x v="5"/>
    <x v="2"/>
    <x v="7"/>
    <x v="32"/>
    <x v="6"/>
    <x v="23"/>
    <x v="46"/>
    <x v="5"/>
    <x v="39"/>
    <x v="148"/>
    <x v="148"/>
    <x v="0"/>
    <x v="0"/>
  </r>
  <r>
    <x v="275"/>
    <x v="56"/>
    <x v="0"/>
    <x v="3"/>
    <x v="5"/>
    <x v="0"/>
    <x v="0"/>
    <x v="54"/>
    <x v="28"/>
    <x v="19"/>
    <x v="56"/>
    <x v="3"/>
    <x v="23"/>
    <x v="149"/>
    <x v="149"/>
    <x v="0"/>
    <x v="0"/>
  </r>
  <r>
    <x v="276"/>
    <x v="59"/>
    <x v="1"/>
    <x v="2"/>
    <x v="4"/>
    <x v="4"/>
    <x v="31"/>
    <x v="8"/>
    <x v="35"/>
    <x v="19"/>
    <x v="37"/>
    <x v="17"/>
    <x v="48"/>
    <x v="150"/>
    <x v="150"/>
    <x v="0"/>
    <x v="0"/>
  </r>
  <r>
    <x v="277"/>
    <x v="160"/>
    <x v="1"/>
    <x v="4"/>
    <x v="3"/>
    <x v="5"/>
    <x v="11"/>
    <x v="31"/>
    <x v="3"/>
    <x v="10"/>
    <x v="3"/>
    <x v="23"/>
    <x v="13"/>
    <x v="9"/>
    <x v="9"/>
    <x v="0"/>
    <x v="0"/>
  </r>
  <r>
    <x v="278"/>
    <x v="13"/>
    <x v="1"/>
    <x v="1"/>
    <x v="3"/>
    <x v="1"/>
    <x v="1"/>
    <x v="28"/>
    <x v="61"/>
    <x v="2"/>
    <x v="9"/>
    <x v="43"/>
    <x v="43"/>
    <x v="151"/>
    <x v="151"/>
    <x v="0"/>
    <x v="1"/>
  </r>
  <r>
    <x v="279"/>
    <x v="36"/>
    <x v="1"/>
    <x v="2"/>
    <x v="0"/>
    <x v="5"/>
    <x v="20"/>
    <x v="35"/>
    <x v="4"/>
    <x v="58"/>
    <x v="38"/>
    <x v="4"/>
    <x v="50"/>
    <x v="89"/>
    <x v="89"/>
    <x v="0"/>
    <x v="1"/>
  </r>
  <r>
    <x v="280"/>
    <x v="58"/>
    <x v="0"/>
    <x v="0"/>
    <x v="3"/>
    <x v="5"/>
    <x v="5"/>
    <x v="28"/>
    <x v="12"/>
    <x v="34"/>
    <x v="20"/>
    <x v="5"/>
    <x v="50"/>
    <x v="18"/>
    <x v="18"/>
    <x v="0"/>
    <x v="1"/>
  </r>
  <r>
    <x v="281"/>
    <x v="12"/>
    <x v="0"/>
    <x v="3"/>
    <x v="0"/>
    <x v="3"/>
    <x v="25"/>
    <x v="33"/>
    <x v="5"/>
    <x v="8"/>
    <x v="16"/>
    <x v="46"/>
    <x v="37"/>
    <x v="82"/>
    <x v="82"/>
    <x v="0"/>
    <x v="0"/>
  </r>
  <r>
    <x v="282"/>
    <x v="161"/>
    <x v="1"/>
    <x v="4"/>
    <x v="5"/>
    <x v="6"/>
    <x v="10"/>
    <x v="37"/>
    <x v="50"/>
    <x v="8"/>
    <x v="13"/>
    <x v="37"/>
    <x v="54"/>
    <x v="152"/>
    <x v="152"/>
    <x v="0"/>
    <x v="1"/>
  </r>
  <r>
    <x v="283"/>
    <x v="94"/>
    <x v="1"/>
    <x v="2"/>
    <x v="5"/>
    <x v="3"/>
    <x v="8"/>
    <x v="55"/>
    <x v="2"/>
    <x v="36"/>
    <x v="9"/>
    <x v="1"/>
    <x v="2"/>
    <x v="45"/>
    <x v="45"/>
    <x v="0"/>
    <x v="1"/>
  </r>
  <r>
    <x v="284"/>
    <x v="162"/>
    <x v="0"/>
    <x v="3"/>
    <x v="4"/>
    <x v="2"/>
    <x v="8"/>
    <x v="12"/>
    <x v="21"/>
    <x v="12"/>
    <x v="25"/>
    <x v="33"/>
    <x v="39"/>
    <x v="18"/>
    <x v="18"/>
    <x v="0"/>
    <x v="1"/>
  </r>
  <r>
    <x v="285"/>
    <x v="43"/>
    <x v="1"/>
    <x v="0"/>
    <x v="1"/>
    <x v="3"/>
    <x v="4"/>
    <x v="2"/>
    <x v="4"/>
    <x v="21"/>
    <x v="8"/>
    <x v="30"/>
    <x v="19"/>
    <x v="60"/>
    <x v="60"/>
    <x v="0"/>
    <x v="1"/>
  </r>
  <r>
    <x v="286"/>
    <x v="53"/>
    <x v="0"/>
    <x v="2"/>
    <x v="4"/>
    <x v="3"/>
    <x v="18"/>
    <x v="58"/>
    <x v="45"/>
    <x v="9"/>
    <x v="28"/>
    <x v="50"/>
    <x v="39"/>
    <x v="69"/>
    <x v="69"/>
    <x v="1"/>
    <x v="2"/>
  </r>
  <r>
    <x v="287"/>
    <x v="163"/>
    <x v="1"/>
    <x v="3"/>
    <x v="3"/>
    <x v="7"/>
    <x v="8"/>
    <x v="11"/>
    <x v="16"/>
    <x v="46"/>
    <x v="38"/>
    <x v="44"/>
    <x v="20"/>
    <x v="153"/>
    <x v="153"/>
    <x v="0"/>
    <x v="1"/>
  </r>
  <r>
    <x v="288"/>
    <x v="164"/>
    <x v="0"/>
    <x v="2"/>
    <x v="0"/>
    <x v="3"/>
    <x v="19"/>
    <x v="52"/>
    <x v="33"/>
    <x v="8"/>
    <x v="46"/>
    <x v="7"/>
    <x v="5"/>
    <x v="126"/>
    <x v="126"/>
    <x v="0"/>
    <x v="0"/>
  </r>
  <r>
    <x v="289"/>
    <x v="145"/>
    <x v="1"/>
    <x v="1"/>
    <x v="1"/>
    <x v="5"/>
    <x v="28"/>
    <x v="57"/>
    <x v="19"/>
    <x v="1"/>
    <x v="14"/>
    <x v="14"/>
    <x v="28"/>
    <x v="154"/>
    <x v="154"/>
    <x v="0"/>
    <x v="1"/>
  </r>
  <r>
    <x v="290"/>
    <x v="134"/>
    <x v="1"/>
    <x v="3"/>
    <x v="3"/>
    <x v="4"/>
    <x v="12"/>
    <x v="20"/>
    <x v="48"/>
    <x v="54"/>
    <x v="46"/>
    <x v="55"/>
    <x v="60"/>
    <x v="0"/>
    <x v="0"/>
    <x v="0"/>
    <x v="0"/>
  </r>
  <r>
    <x v="291"/>
    <x v="165"/>
    <x v="0"/>
    <x v="3"/>
    <x v="0"/>
    <x v="7"/>
    <x v="29"/>
    <x v="47"/>
    <x v="8"/>
    <x v="16"/>
    <x v="25"/>
    <x v="35"/>
    <x v="16"/>
    <x v="139"/>
    <x v="139"/>
    <x v="0"/>
    <x v="0"/>
  </r>
  <r>
    <x v="292"/>
    <x v="34"/>
    <x v="1"/>
    <x v="0"/>
    <x v="5"/>
    <x v="0"/>
    <x v="15"/>
    <x v="35"/>
    <x v="14"/>
    <x v="25"/>
    <x v="59"/>
    <x v="11"/>
    <x v="40"/>
    <x v="155"/>
    <x v="155"/>
    <x v="0"/>
    <x v="1"/>
  </r>
  <r>
    <x v="293"/>
    <x v="18"/>
    <x v="0"/>
    <x v="4"/>
    <x v="1"/>
    <x v="2"/>
    <x v="17"/>
    <x v="20"/>
    <x v="42"/>
    <x v="16"/>
    <x v="59"/>
    <x v="56"/>
    <x v="39"/>
    <x v="2"/>
    <x v="2"/>
    <x v="0"/>
    <x v="1"/>
  </r>
  <r>
    <x v="294"/>
    <x v="2"/>
    <x v="0"/>
    <x v="3"/>
    <x v="5"/>
    <x v="4"/>
    <x v="33"/>
    <x v="12"/>
    <x v="54"/>
    <x v="20"/>
    <x v="14"/>
    <x v="31"/>
    <x v="13"/>
    <x v="32"/>
    <x v="32"/>
    <x v="0"/>
    <x v="0"/>
  </r>
  <r>
    <x v="295"/>
    <x v="12"/>
    <x v="0"/>
    <x v="4"/>
    <x v="4"/>
    <x v="5"/>
    <x v="25"/>
    <x v="2"/>
    <x v="57"/>
    <x v="51"/>
    <x v="26"/>
    <x v="38"/>
    <x v="10"/>
    <x v="155"/>
    <x v="155"/>
    <x v="0"/>
    <x v="1"/>
  </r>
  <r>
    <x v="296"/>
    <x v="112"/>
    <x v="1"/>
    <x v="3"/>
    <x v="4"/>
    <x v="4"/>
    <x v="12"/>
    <x v="1"/>
    <x v="12"/>
    <x v="6"/>
    <x v="7"/>
    <x v="16"/>
    <x v="31"/>
    <x v="126"/>
    <x v="126"/>
    <x v="0"/>
    <x v="0"/>
  </r>
  <r>
    <x v="297"/>
    <x v="129"/>
    <x v="0"/>
    <x v="1"/>
    <x v="3"/>
    <x v="3"/>
    <x v="10"/>
    <x v="39"/>
    <x v="32"/>
    <x v="10"/>
    <x v="37"/>
    <x v="14"/>
    <x v="40"/>
    <x v="60"/>
    <x v="60"/>
    <x v="0"/>
    <x v="1"/>
  </r>
  <r>
    <x v="298"/>
    <x v="27"/>
    <x v="1"/>
    <x v="4"/>
    <x v="4"/>
    <x v="3"/>
    <x v="6"/>
    <x v="35"/>
    <x v="20"/>
    <x v="8"/>
    <x v="32"/>
    <x v="8"/>
    <x v="60"/>
    <x v="156"/>
    <x v="156"/>
    <x v="0"/>
    <x v="0"/>
  </r>
  <r>
    <x v="299"/>
    <x v="108"/>
    <x v="1"/>
    <x v="2"/>
    <x v="3"/>
    <x v="4"/>
    <x v="20"/>
    <x v="7"/>
    <x v="16"/>
    <x v="10"/>
    <x v="11"/>
    <x v="4"/>
    <x v="47"/>
    <x v="157"/>
    <x v="157"/>
    <x v="0"/>
    <x v="1"/>
  </r>
  <r>
    <x v="300"/>
    <x v="91"/>
    <x v="1"/>
    <x v="1"/>
    <x v="3"/>
    <x v="7"/>
    <x v="9"/>
    <x v="26"/>
    <x v="13"/>
    <x v="11"/>
    <x v="37"/>
    <x v="9"/>
    <x v="11"/>
    <x v="154"/>
    <x v="154"/>
    <x v="0"/>
    <x v="1"/>
  </r>
  <r>
    <x v="301"/>
    <x v="57"/>
    <x v="0"/>
    <x v="1"/>
    <x v="0"/>
    <x v="3"/>
    <x v="1"/>
    <x v="60"/>
    <x v="29"/>
    <x v="57"/>
    <x v="61"/>
    <x v="54"/>
    <x v="33"/>
    <x v="158"/>
    <x v="158"/>
    <x v="1"/>
    <x v="2"/>
  </r>
  <r>
    <x v="302"/>
    <x v="78"/>
    <x v="1"/>
    <x v="3"/>
    <x v="1"/>
    <x v="5"/>
    <x v="30"/>
    <x v="26"/>
    <x v="30"/>
    <x v="32"/>
    <x v="16"/>
    <x v="27"/>
    <x v="35"/>
    <x v="94"/>
    <x v="94"/>
    <x v="0"/>
    <x v="1"/>
  </r>
  <r>
    <x v="303"/>
    <x v="166"/>
    <x v="1"/>
    <x v="4"/>
    <x v="4"/>
    <x v="2"/>
    <x v="11"/>
    <x v="36"/>
    <x v="50"/>
    <x v="46"/>
    <x v="59"/>
    <x v="29"/>
    <x v="35"/>
    <x v="157"/>
    <x v="157"/>
    <x v="0"/>
    <x v="1"/>
  </r>
  <r>
    <x v="304"/>
    <x v="13"/>
    <x v="0"/>
    <x v="1"/>
    <x v="1"/>
    <x v="3"/>
    <x v="2"/>
    <x v="9"/>
    <x v="9"/>
    <x v="14"/>
    <x v="22"/>
    <x v="46"/>
    <x v="6"/>
    <x v="149"/>
    <x v="149"/>
    <x v="0"/>
    <x v="0"/>
  </r>
  <r>
    <x v="305"/>
    <x v="165"/>
    <x v="1"/>
    <x v="2"/>
    <x v="2"/>
    <x v="0"/>
    <x v="7"/>
    <x v="26"/>
    <x v="44"/>
    <x v="14"/>
    <x v="46"/>
    <x v="5"/>
    <x v="2"/>
    <x v="111"/>
    <x v="111"/>
    <x v="0"/>
    <x v="1"/>
  </r>
  <r>
    <x v="306"/>
    <x v="167"/>
    <x v="0"/>
    <x v="4"/>
    <x v="1"/>
    <x v="6"/>
    <x v="41"/>
    <x v="54"/>
    <x v="48"/>
    <x v="54"/>
    <x v="30"/>
    <x v="57"/>
    <x v="0"/>
    <x v="159"/>
    <x v="159"/>
    <x v="0"/>
    <x v="0"/>
  </r>
  <r>
    <x v="307"/>
    <x v="87"/>
    <x v="1"/>
    <x v="3"/>
    <x v="4"/>
    <x v="7"/>
    <x v="31"/>
    <x v="32"/>
    <x v="28"/>
    <x v="47"/>
    <x v="35"/>
    <x v="8"/>
    <x v="12"/>
    <x v="15"/>
    <x v="15"/>
    <x v="0"/>
    <x v="0"/>
  </r>
  <r>
    <x v="308"/>
    <x v="137"/>
    <x v="1"/>
    <x v="4"/>
    <x v="4"/>
    <x v="5"/>
    <x v="19"/>
    <x v="50"/>
    <x v="3"/>
    <x v="3"/>
    <x v="8"/>
    <x v="23"/>
    <x v="3"/>
    <x v="15"/>
    <x v="15"/>
    <x v="0"/>
    <x v="0"/>
  </r>
  <r>
    <x v="309"/>
    <x v="155"/>
    <x v="0"/>
    <x v="4"/>
    <x v="5"/>
    <x v="0"/>
    <x v="7"/>
    <x v="40"/>
    <x v="31"/>
    <x v="38"/>
    <x v="56"/>
    <x v="7"/>
    <x v="3"/>
    <x v="159"/>
    <x v="159"/>
    <x v="0"/>
    <x v="0"/>
  </r>
  <r>
    <x v="310"/>
    <x v="104"/>
    <x v="0"/>
    <x v="3"/>
    <x v="0"/>
    <x v="0"/>
    <x v="25"/>
    <x v="44"/>
    <x v="28"/>
    <x v="46"/>
    <x v="7"/>
    <x v="1"/>
    <x v="43"/>
    <x v="152"/>
    <x v="152"/>
    <x v="0"/>
    <x v="1"/>
  </r>
  <r>
    <x v="311"/>
    <x v="168"/>
    <x v="0"/>
    <x v="2"/>
    <x v="5"/>
    <x v="2"/>
    <x v="1"/>
    <x v="31"/>
    <x v="62"/>
    <x v="48"/>
    <x v="0"/>
    <x v="36"/>
    <x v="9"/>
    <x v="39"/>
    <x v="39"/>
    <x v="0"/>
    <x v="0"/>
  </r>
  <r>
    <x v="312"/>
    <x v="153"/>
    <x v="0"/>
    <x v="3"/>
    <x v="2"/>
    <x v="4"/>
    <x v="36"/>
    <x v="15"/>
    <x v="30"/>
    <x v="5"/>
    <x v="61"/>
    <x v="14"/>
    <x v="50"/>
    <x v="56"/>
    <x v="56"/>
    <x v="0"/>
    <x v="1"/>
  </r>
  <r>
    <x v="313"/>
    <x v="40"/>
    <x v="0"/>
    <x v="1"/>
    <x v="2"/>
    <x v="2"/>
    <x v="23"/>
    <x v="14"/>
    <x v="19"/>
    <x v="20"/>
    <x v="8"/>
    <x v="5"/>
    <x v="17"/>
    <x v="124"/>
    <x v="124"/>
    <x v="0"/>
    <x v="1"/>
  </r>
  <r>
    <x v="314"/>
    <x v="132"/>
    <x v="1"/>
    <x v="3"/>
    <x v="2"/>
    <x v="3"/>
    <x v="31"/>
    <x v="9"/>
    <x v="4"/>
    <x v="3"/>
    <x v="7"/>
    <x v="29"/>
    <x v="24"/>
    <x v="71"/>
    <x v="71"/>
    <x v="0"/>
    <x v="1"/>
  </r>
  <r>
    <x v="315"/>
    <x v="137"/>
    <x v="1"/>
    <x v="4"/>
    <x v="0"/>
    <x v="1"/>
    <x v="32"/>
    <x v="8"/>
    <x v="14"/>
    <x v="41"/>
    <x v="28"/>
    <x v="44"/>
    <x v="49"/>
    <x v="160"/>
    <x v="160"/>
    <x v="1"/>
    <x v="2"/>
  </r>
  <r>
    <x v="316"/>
    <x v="169"/>
    <x v="1"/>
    <x v="4"/>
    <x v="3"/>
    <x v="7"/>
    <x v="29"/>
    <x v="18"/>
    <x v="55"/>
    <x v="47"/>
    <x v="27"/>
    <x v="26"/>
    <x v="11"/>
    <x v="16"/>
    <x v="16"/>
    <x v="0"/>
    <x v="1"/>
  </r>
  <r>
    <x v="317"/>
    <x v="50"/>
    <x v="0"/>
    <x v="4"/>
    <x v="3"/>
    <x v="0"/>
    <x v="14"/>
    <x v="25"/>
    <x v="8"/>
    <x v="3"/>
    <x v="6"/>
    <x v="31"/>
    <x v="1"/>
    <x v="161"/>
    <x v="161"/>
    <x v="0"/>
    <x v="0"/>
  </r>
  <r>
    <x v="318"/>
    <x v="96"/>
    <x v="0"/>
    <x v="1"/>
    <x v="5"/>
    <x v="0"/>
    <x v="21"/>
    <x v="8"/>
    <x v="15"/>
    <x v="12"/>
    <x v="14"/>
    <x v="42"/>
    <x v="23"/>
    <x v="18"/>
    <x v="18"/>
    <x v="0"/>
    <x v="1"/>
  </r>
  <r>
    <x v="319"/>
    <x v="77"/>
    <x v="1"/>
    <x v="0"/>
    <x v="5"/>
    <x v="7"/>
    <x v="21"/>
    <x v="55"/>
    <x v="14"/>
    <x v="25"/>
    <x v="62"/>
    <x v="21"/>
    <x v="36"/>
    <x v="141"/>
    <x v="141"/>
    <x v="0"/>
    <x v="1"/>
  </r>
  <r>
    <x v="320"/>
    <x v="77"/>
    <x v="1"/>
    <x v="1"/>
    <x v="0"/>
    <x v="0"/>
    <x v="1"/>
    <x v="2"/>
    <x v="20"/>
    <x v="48"/>
    <x v="50"/>
    <x v="29"/>
    <x v="7"/>
    <x v="1"/>
    <x v="1"/>
    <x v="0"/>
    <x v="1"/>
  </r>
  <r>
    <x v="321"/>
    <x v="120"/>
    <x v="0"/>
    <x v="2"/>
    <x v="3"/>
    <x v="1"/>
    <x v="31"/>
    <x v="3"/>
    <x v="44"/>
    <x v="19"/>
    <x v="6"/>
    <x v="10"/>
    <x v="20"/>
    <x v="162"/>
    <x v="162"/>
    <x v="0"/>
    <x v="1"/>
  </r>
  <r>
    <x v="322"/>
    <x v="170"/>
    <x v="0"/>
    <x v="0"/>
    <x v="3"/>
    <x v="6"/>
    <x v="3"/>
    <x v="29"/>
    <x v="58"/>
    <x v="34"/>
    <x v="28"/>
    <x v="1"/>
    <x v="54"/>
    <x v="163"/>
    <x v="163"/>
    <x v="0"/>
    <x v="1"/>
  </r>
  <r>
    <x v="323"/>
    <x v="155"/>
    <x v="0"/>
    <x v="4"/>
    <x v="0"/>
    <x v="0"/>
    <x v="11"/>
    <x v="10"/>
    <x v="10"/>
    <x v="47"/>
    <x v="10"/>
    <x v="13"/>
    <x v="35"/>
    <x v="94"/>
    <x v="94"/>
    <x v="0"/>
    <x v="1"/>
  </r>
  <r>
    <x v="324"/>
    <x v="159"/>
    <x v="1"/>
    <x v="0"/>
    <x v="0"/>
    <x v="6"/>
    <x v="18"/>
    <x v="55"/>
    <x v="32"/>
    <x v="8"/>
    <x v="32"/>
    <x v="27"/>
    <x v="36"/>
    <x v="15"/>
    <x v="15"/>
    <x v="0"/>
    <x v="0"/>
  </r>
  <r>
    <x v="325"/>
    <x v="171"/>
    <x v="1"/>
    <x v="1"/>
    <x v="4"/>
    <x v="0"/>
    <x v="14"/>
    <x v="26"/>
    <x v="37"/>
    <x v="17"/>
    <x v="4"/>
    <x v="18"/>
    <x v="43"/>
    <x v="164"/>
    <x v="164"/>
    <x v="0"/>
    <x v="1"/>
  </r>
  <r>
    <x v="326"/>
    <x v="172"/>
    <x v="1"/>
    <x v="0"/>
    <x v="4"/>
    <x v="1"/>
    <x v="6"/>
    <x v="54"/>
    <x v="43"/>
    <x v="7"/>
    <x v="35"/>
    <x v="52"/>
    <x v="42"/>
    <x v="165"/>
    <x v="165"/>
    <x v="0"/>
    <x v="0"/>
  </r>
  <r>
    <x v="327"/>
    <x v="140"/>
    <x v="0"/>
    <x v="3"/>
    <x v="4"/>
    <x v="4"/>
    <x v="4"/>
    <x v="61"/>
    <x v="4"/>
    <x v="47"/>
    <x v="26"/>
    <x v="14"/>
    <x v="40"/>
    <x v="92"/>
    <x v="92"/>
    <x v="0"/>
    <x v="1"/>
  </r>
  <r>
    <x v="328"/>
    <x v="55"/>
    <x v="1"/>
    <x v="3"/>
    <x v="3"/>
    <x v="3"/>
    <x v="16"/>
    <x v="7"/>
    <x v="8"/>
    <x v="2"/>
    <x v="38"/>
    <x v="44"/>
    <x v="37"/>
    <x v="166"/>
    <x v="166"/>
    <x v="0"/>
    <x v="1"/>
  </r>
  <r>
    <x v="329"/>
    <x v="122"/>
    <x v="1"/>
    <x v="1"/>
    <x v="0"/>
    <x v="3"/>
    <x v="23"/>
    <x v="38"/>
    <x v="22"/>
    <x v="46"/>
    <x v="17"/>
    <x v="40"/>
    <x v="21"/>
    <x v="12"/>
    <x v="12"/>
    <x v="0"/>
    <x v="1"/>
  </r>
  <r>
    <x v="330"/>
    <x v="120"/>
    <x v="0"/>
    <x v="4"/>
    <x v="2"/>
    <x v="1"/>
    <x v="8"/>
    <x v="19"/>
    <x v="4"/>
    <x v="14"/>
    <x v="8"/>
    <x v="33"/>
    <x v="36"/>
    <x v="85"/>
    <x v="85"/>
    <x v="0"/>
    <x v="1"/>
  </r>
  <r>
    <x v="331"/>
    <x v="147"/>
    <x v="1"/>
    <x v="3"/>
    <x v="5"/>
    <x v="5"/>
    <x v="31"/>
    <x v="50"/>
    <x v="2"/>
    <x v="2"/>
    <x v="47"/>
    <x v="5"/>
    <x v="11"/>
    <x v="33"/>
    <x v="33"/>
    <x v="0"/>
    <x v="1"/>
  </r>
  <r>
    <x v="332"/>
    <x v="57"/>
    <x v="1"/>
    <x v="4"/>
    <x v="2"/>
    <x v="4"/>
    <x v="39"/>
    <x v="12"/>
    <x v="0"/>
    <x v="32"/>
    <x v="37"/>
    <x v="6"/>
    <x v="1"/>
    <x v="9"/>
    <x v="9"/>
    <x v="0"/>
    <x v="0"/>
  </r>
  <r>
    <x v="333"/>
    <x v="38"/>
    <x v="0"/>
    <x v="3"/>
    <x v="1"/>
    <x v="1"/>
    <x v="39"/>
    <x v="9"/>
    <x v="16"/>
    <x v="53"/>
    <x v="11"/>
    <x v="20"/>
    <x v="40"/>
    <x v="167"/>
    <x v="167"/>
    <x v="1"/>
    <x v="2"/>
  </r>
  <r>
    <x v="334"/>
    <x v="101"/>
    <x v="1"/>
    <x v="4"/>
    <x v="4"/>
    <x v="2"/>
    <x v="31"/>
    <x v="15"/>
    <x v="32"/>
    <x v="1"/>
    <x v="25"/>
    <x v="6"/>
    <x v="10"/>
    <x v="14"/>
    <x v="14"/>
    <x v="0"/>
    <x v="1"/>
  </r>
  <r>
    <x v="335"/>
    <x v="173"/>
    <x v="1"/>
    <x v="0"/>
    <x v="0"/>
    <x v="7"/>
    <x v="1"/>
    <x v="2"/>
    <x v="12"/>
    <x v="19"/>
    <x v="61"/>
    <x v="17"/>
    <x v="43"/>
    <x v="22"/>
    <x v="22"/>
    <x v="0"/>
    <x v="1"/>
  </r>
  <r>
    <x v="336"/>
    <x v="7"/>
    <x v="0"/>
    <x v="2"/>
    <x v="1"/>
    <x v="7"/>
    <x v="30"/>
    <x v="34"/>
    <x v="1"/>
    <x v="23"/>
    <x v="22"/>
    <x v="2"/>
    <x v="18"/>
    <x v="166"/>
    <x v="166"/>
    <x v="0"/>
    <x v="1"/>
  </r>
  <r>
    <x v="337"/>
    <x v="34"/>
    <x v="0"/>
    <x v="3"/>
    <x v="4"/>
    <x v="0"/>
    <x v="38"/>
    <x v="41"/>
    <x v="1"/>
    <x v="16"/>
    <x v="10"/>
    <x v="8"/>
    <x v="37"/>
    <x v="168"/>
    <x v="168"/>
    <x v="0"/>
    <x v="0"/>
  </r>
  <r>
    <x v="338"/>
    <x v="80"/>
    <x v="1"/>
    <x v="1"/>
    <x v="0"/>
    <x v="2"/>
    <x v="5"/>
    <x v="2"/>
    <x v="44"/>
    <x v="25"/>
    <x v="14"/>
    <x v="5"/>
    <x v="17"/>
    <x v="42"/>
    <x v="42"/>
    <x v="0"/>
    <x v="1"/>
  </r>
  <r>
    <x v="339"/>
    <x v="48"/>
    <x v="1"/>
    <x v="4"/>
    <x v="3"/>
    <x v="3"/>
    <x v="5"/>
    <x v="1"/>
    <x v="28"/>
    <x v="14"/>
    <x v="26"/>
    <x v="33"/>
    <x v="17"/>
    <x v="46"/>
    <x v="46"/>
    <x v="0"/>
    <x v="1"/>
  </r>
  <r>
    <x v="340"/>
    <x v="7"/>
    <x v="0"/>
    <x v="3"/>
    <x v="1"/>
    <x v="1"/>
    <x v="39"/>
    <x v="22"/>
    <x v="22"/>
    <x v="4"/>
    <x v="33"/>
    <x v="13"/>
    <x v="61"/>
    <x v="169"/>
    <x v="169"/>
    <x v="0"/>
    <x v="1"/>
  </r>
  <r>
    <x v="341"/>
    <x v="149"/>
    <x v="1"/>
    <x v="4"/>
    <x v="1"/>
    <x v="6"/>
    <x v="25"/>
    <x v="29"/>
    <x v="32"/>
    <x v="18"/>
    <x v="1"/>
    <x v="6"/>
    <x v="29"/>
    <x v="65"/>
    <x v="65"/>
    <x v="0"/>
    <x v="1"/>
  </r>
  <r>
    <x v="342"/>
    <x v="174"/>
    <x v="0"/>
    <x v="0"/>
    <x v="0"/>
    <x v="4"/>
    <x v="0"/>
    <x v="17"/>
    <x v="19"/>
    <x v="14"/>
    <x v="17"/>
    <x v="24"/>
    <x v="50"/>
    <x v="45"/>
    <x v="45"/>
    <x v="0"/>
    <x v="1"/>
  </r>
  <r>
    <x v="343"/>
    <x v="85"/>
    <x v="1"/>
    <x v="4"/>
    <x v="1"/>
    <x v="5"/>
    <x v="3"/>
    <x v="5"/>
    <x v="34"/>
    <x v="18"/>
    <x v="26"/>
    <x v="1"/>
    <x v="7"/>
    <x v="170"/>
    <x v="170"/>
    <x v="0"/>
    <x v="0"/>
  </r>
  <r>
    <x v="344"/>
    <x v="153"/>
    <x v="1"/>
    <x v="2"/>
    <x v="1"/>
    <x v="1"/>
    <x v="1"/>
    <x v="37"/>
    <x v="2"/>
    <x v="23"/>
    <x v="20"/>
    <x v="43"/>
    <x v="32"/>
    <x v="171"/>
    <x v="171"/>
    <x v="0"/>
    <x v="1"/>
  </r>
  <r>
    <x v="345"/>
    <x v="30"/>
    <x v="0"/>
    <x v="2"/>
    <x v="3"/>
    <x v="6"/>
    <x v="6"/>
    <x v="0"/>
    <x v="6"/>
    <x v="55"/>
    <x v="25"/>
    <x v="29"/>
    <x v="34"/>
    <x v="32"/>
    <x v="32"/>
    <x v="0"/>
    <x v="0"/>
  </r>
  <r>
    <x v="346"/>
    <x v="83"/>
    <x v="1"/>
    <x v="4"/>
    <x v="4"/>
    <x v="5"/>
    <x v="25"/>
    <x v="49"/>
    <x v="19"/>
    <x v="40"/>
    <x v="7"/>
    <x v="29"/>
    <x v="24"/>
    <x v="85"/>
    <x v="85"/>
    <x v="0"/>
    <x v="1"/>
  </r>
  <r>
    <x v="347"/>
    <x v="175"/>
    <x v="0"/>
    <x v="0"/>
    <x v="2"/>
    <x v="7"/>
    <x v="19"/>
    <x v="17"/>
    <x v="9"/>
    <x v="23"/>
    <x v="39"/>
    <x v="23"/>
    <x v="6"/>
    <x v="82"/>
    <x v="82"/>
    <x v="0"/>
    <x v="0"/>
  </r>
  <r>
    <x v="348"/>
    <x v="86"/>
    <x v="1"/>
    <x v="0"/>
    <x v="3"/>
    <x v="1"/>
    <x v="19"/>
    <x v="40"/>
    <x v="19"/>
    <x v="54"/>
    <x v="37"/>
    <x v="27"/>
    <x v="41"/>
    <x v="111"/>
    <x v="111"/>
    <x v="0"/>
    <x v="1"/>
  </r>
  <r>
    <x v="349"/>
    <x v="101"/>
    <x v="0"/>
    <x v="3"/>
    <x v="0"/>
    <x v="0"/>
    <x v="6"/>
    <x v="26"/>
    <x v="3"/>
    <x v="11"/>
    <x v="1"/>
    <x v="5"/>
    <x v="42"/>
    <x v="40"/>
    <x v="40"/>
    <x v="0"/>
    <x v="1"/>
  </r>
  <r>
    <x v="350"/>
    <x v="147"/>
    <x v="1"/>
    <x v="2"/>
    <x v="0"/>
    <x v="5"/>
    <x v="20"/>
    <x v="14"/>
    <x v="50"/>
    <x v="32"/>
    <x v="8"/>
    <x v="22"/>
    <x v="19"/>
    <x v="11"/>
    <x v="11"/>
    <x v="0"/>
    <x v="1"/>
  </r>
  <r>
    <x v="351"/>
    <x v="57"/>
    <x v="0"/>
    <x v="1"/>
    <x v="4"/>
    <x v="4"/>
    <x v="31"/>
    <x v="0"/>
    <x v="30"/>
    <x v="3"/>
    <x v="0"/>
    <x v="25"/>
    <x v="34"/>
    <x v="110"/>
    <x v="110"/>
    <x v="0"/>
    <x v="0"/>
  </r>
  <r>
    <x v="352"/>
    <x v="174"/>
    <x v="0"/>
    <x v="2"/>
    <x v="3"/>
    <x v="5"/>
    <x v="33"/>
    <x v="33"/>
    <x v="54"/>
    <x v="20"/>
    <x v="15"/>
    <x v="19"/>
    <x v="62"/>
    <x v="172"/>
    <x v="172"/>
    <x v="0"/>
    <x v="0"/>
  </r>
  <r>
    <x v="353"/>
    <x v="165"/>
    <x v="0"/>
    <x v="2"/>
    <x v="1"/>
    <x v="5"/>
    <x v="12"/>
    <x v="39"/>
    <x v="58"/>
    <x v="40"/>
    <x v="17"/>
    <x v="30"/>
    <x v="10"/>
    <x v="64"/>
    <x v="64"/>
    <x v="0"/>
    <x v="1"/>
  </r>
  <r>
    <x v="354"/>
    <x v="139"/>
    <x v="0"/>
    <x v="1"/>
    <x v="0"/>
    <x v="1"/>
    <x v="18"/>
    <x v="10"/>
    <x v="12"/>
    <x v="30"/>
    <x v="25"/>
    <x v="25"/>
    <x v="2"/>
    <x v="24"/>
    <x v="24"/>
    <x v="0"/>
    <x v="0"/>
  </r>
  <r>
    <x v="355"/>
    <x v="136"/>
    <x v="1"/>
    <x v="1"/>
    <x v="4"/>
    <x v="4"/>
    <x v="2"/>
    <x v="32"/>
    <x v="0"/>
    <x v="33"/>
    <x v="57"/>
    <x v="3"/>
    <x v="19"/>
    <x v="173"/>
    <x v="173"/>
    <x v="0"/>
    <x v="0"/>
  </r>
  <r>
    <x v="356"/>
    <x v="68"/>
    <x v="0"/>
    <x v="0"/>
    <x v="2"/>
    <x v="5"/>
    <x v="10"/>
    <x v="10"/>
    <x v="22"/>
    <x v="20"/>
    <x v="12"/>
    <x v="10"/>
    <x v="49"/>
    <x v="37"/>
    <x v="37"/>
    <x v="0"/>
    <x v="1"/>
  </r>
  <r>
    <x v="357"/>
    <x v="176"/>
    <x v="1"/>
    <x v="1"/>
    <x v="3"/>
    <x v="2"/>
    <x v="7"/>
    <x v="23"/>
    <x v="58"/>
    <x v="17"/>
    <x v="12"/>
    <x v="12"/>
    <x v="18"/>
    <x v="58"/>
    <x v="58"/>
    <x v="0"/>
    <x v="1"/>
  </r>
  <r>
    <x v="358"/>
    <x v="177"/>
    <x v="0"/>
    <x v="3"/>
    <x v="3"/>
    <x v="1"/>
    <x v="4"/>
    <x v="35"/>
    <x v="9"/>
    <x v="18"/>
    <x v="1"/>
    <x v="1"/>
    <x v="62"/>
    <x v="110"/>
    <x v="110"/>
    <x v="0"/>
    <x v="0"/>
  </r>
  <r>
    <x v="359"/>
    <x v="178"/>
    <x v="1"/>
    <x v="0"/>
    <x v="3"/>
    <x v="7"/>
    <x v="17"/>
    <x v="10"/>
    <x v="50"/>
    <x v="40"/>
    <x v="43"/>
    <x v="49"/>
    <x v="20"/>
    <x v="16"/>
    <x v="16"/>
    <x v="0"/>
    <x v="1"/>
  </r>
  <r>
    <x v="360"/>
    <x v="45"/>
    <x v="0"/>
    <x v="2"/>
    <x v="1"/>
    <x v="6"/>
    <x v="5"/>
    <x v="8"/>
    <x v="22"/>
    <x v="37"/>
    <x v="10"/>
    <x v="11"/>
    <x v="39"/>
    <x v="164"/>
    <x v="164"/>
    <x v="0"/>
    <x v="1"/>
  </r>
  <r>
    <x v="361"/>
    <x v="158"/>
    <x v="1"/>
    <x v="0"/>
    <x v="0"/>
    <x v="7"/>
    <x v="2"/>
    <x v="15"/>
    <x v="48"/>
    <x v="20"/>
    <x v="15"/>
    <x v="45"/>
    <x v="12"/>
    <x v="174"/>
    <x v="174"/>
    <x v="0"/>
    <x v="0"/>
  </r>
  <r>
    <x v="362"/>
    <x v="179"/>
    <x v="0"/>
    <x v="2"/>
    <x v="3"/>
    <x v="5"/>
    <x v="19"/>
    <x v="47"/>
    <x v="48"/>
    <x v="27"/>
    <x v="15"/>
    <x v="0"/>
    <x v="13"/>
    <x v="123"/>
    <x v="123"/>
    <x v="0"/>
    <x v="0"/>
  </r>
  <r>
    <x v="363"/>
    <x v="155"/>
    <x v="1"/>
    <x v="3"/>
    <x v="5"/>
    <x v="5"/>
    <x v="4"/>
    <x v="10"/>
    <x v="4"/>
    <x v="12"/>
    <x v="12"/>
    <x v="33"/>
    <x v="19"/>
    <x v="102"/>
    <x v="102"/>
    <x v="0"/>
    <x v="1"/>
  </r>
  <r>
    <x v="364"/>
    <x v="5"/>
    <x v="0"/>
    <x v="3"/>
    <x v="4"/>
    <x v="4"/>
    <x v="18"/>
    <x v="18"/>
    <x v="28"/>
    <x v="34"/>
    <x v="26"/>
    <x v="40"/>
    <x v="10"/>
    <x v="94"/>
    <x v="94"/>
    <x v="0"/>
    <x v="1"/>
  </r>
  <r>
    <x v="365"/>
    <x v="166"/>
    <x v="0"/>
    <x v="0"/>
    <x v="3"/>
    <x v="3"/>
    <x v="19"/>
    <x v="6"/>
    <x v="46"/>
    <x v="5"/>
    <x v="22"/>
    <x v="14"/>
    <x v="19"/>
    <x v="10"/>
    <x v="10"/>
    <x v="0"/>
    <x v="0"/>
  </r>
  <r>
    <x v="366"/>
    <x v="19"/>
    <x v="1"/>
    <x v="0"/>
    <x v="3"/>
    <x v="2"/>
    <x v="5"/>
    <x v="43"/>
    <x v="30"/>
    <x v="40"/>
    <x v="2"/>
    <x v="30"/>
    <x v="41"/>
    <x v="171"/>
    <x v="171"/>
    <x v="0"/>
    <x v="1"/>
  </r>
  <r>
    <x v="367"/>
    <x v="58"/>
    <x v="0"/>
    <x v="3"/>
    <x v="5"/>
    <x v="0"/>
    <x v="31"/>
    <x v="22"/>
    <x v="12"/>
    <x v="16"/>
    <x v="4"/>
    <x v="27"/>
    <x v="4"/>
    <x v="148"/>
    <x v="148"/>
    <x v="0"/>
    <x v="0"/>
  </r>
  <r>
    <x v="368"/>
    <x v="180"/>
    <x v="1"/>
    <x v="0"/>
    <x v="2"/>
    <x v="4"/>
    <x v="14"/>
    <x v="49"/>
    <x v="19"/>
    <x v="20"/>
    <x v="16"/>
    <x v="44"/>
    <x v="4"/>
    <x v="76"/>
    <x v="76"/>
    <x v="0"/>
    <x v="1"/>
  </r>
  <r>
    <x v="369"/>
    <x v="113"/>
    <x v="0"/>
    <x v="4"/>
    <x v="1"/>
    <x v="6"/>
    <x v="3"/>
    <x v="15"/>
    <x v="59"/>
    <x v="54"/>
    <x v="35"/>
    <x v="46"/>
    <x v="42"/>
    <x v="175"/>
    <x v="175"/>
    <x v="0"/>
    <x v="0"/>
  </r>
  <r>
    <x v="370"/>
    <x v="90"/>
    <x v="0"/>
    <x v="0"/>
    <x v="0"/>
    <x v="7"/>
    <x v="12"/>
    <x v="40"/>
    <x v="10"/>
    <x v="2"/>
    <x v="8"/>
    <x v="29"/>
    <x v="2"/>
    <x v="92"/>
    <x v="92"/>
    <x v="0"/>
    <x v="1"/>
  </r>
  <r>
    <x v="371"/>
    <x v="107"/>
    <x v="0"/>
    <x v="1"/>
    <x v="4"/>
    <x v="4"/>
    <x v="10"/>
    <x v="22"/>
    <x v="9"/>
    <x v="14"/>
    <x v="25"/>
    <x v="46"/>
    <x v="2"/>
    <x v="162"/>
    <x v="162"/>
    <x v="0"/>
    <x v="1"/>
  </r>
  <r>
    <x v="372"/>
    <x v="181"/>
    <x v="1"/>
    <x v="1"/>
    <x v="1"/>
    <x v="4"/>
    <x v="18"/>
    <x v="47"/>
    <x v="63"/>
    <x v="39"/>
    <x v="34"/>
    <x v="3"/>
    <x v="34"/>
    <x v="176"/>
    <x v="176"/>
    <x v="0"/>
    <x v="0"/>
  </r>
  <r>
    <x v="373"/>
    <x v="69"/>
    <x v="1"/>
    <x v="4"/>
    <x v="2"/>
    <x v="2"/>
    <x v="6"/>
    <x v="47"/>
    <x v="47"/>
    <x v="54"/>
    <x v="26"/>
    <x v="3"/>
    <x v="60"/>
    <x v="177"/>
    <x v="177"/>
    <x v="0"/>
    <x v="0"/>
  </r>
  <r>
    <x v="374"/>
    <x v="164"/>
    <x v="1"/>
    <x v="0"/>
    <x v="4"/>
    <x v="2"/>
    <x v="1"/>
    <x v="36"/>
    <x v="4"/>
    <x v="40"/>
    <x v="13"/>
    <x v="4"/>
    <x v="57"/>
    <x v="95"/>
    <x v="95"/>
    <x v="0"/>
    <x v="1"/>
  </r>
  <r>
    <x v="375"/>
    <x v="127"/>
    <x v="1"/>
    <x v="3"/>
    <x v="5"/>
    <x v="3"/>
    <x v="36"/>
    <x v="38"/>
    <x v="57"/>
    <x v="46"/>
    <x v="8"/>
    <x v="43"/>
    <x v="50"/>
    <x v="17"/>
    <x v="17"/>
    <x v="0"/>
    <x v="1"/>
  </r>
  <r>
    <x v="376"/>
    <x v="3"/>
    <x v="0"/>
    <x v="2"/>
    <x v="0"/>
    <x v="3"/>
    <x v="20"/>
    <x v="17"/>
    <x v="9"/>
    <x v="59"/>
    <x v="3"/>
    <x v="27"/>
    <x v="0"/>
    <x v="122"/>
    <x v="122"/>
    <x v="0"/>
    <x v="0"/>
  </r>
  <r>
    <x v="377"/>
    <x v="61"/>
    <x v="1"/>
    <x v="3"/>
    <x v="4"/>
    <x v="1"/>
    <x v="28"/>
    <x v="4"/>
    <x v="28"/>
    <x v="21"/>
    <x v="46"/>
    <x v="37"/>
    <x v="35"/>
    <x v="77"/>
    <x v="77"/>
    <x v="0"/>
    <x v="1"/>
  </r>
  <r>
    <x v="378"/>
    <x v="133"/>
    <x v="0"/>
    <x v="0"/>
    <x v="4"/>
    <x v="1"/>
    <x v="3"/>
    <x v="62"/>
    <x v="57"/>
    <x v="60"/>
    <x v="12"/>
    <x v="38"/>
    <x v="55"/>
    <x v="178"/>
    <x v="178"/>
    <x v="1"/>
    <x v="2"/>
  </r>
  <r>
    <x v="379"/>
    <x v="103"/>
    <x v="0"/>
    <x v="2"/>
    <x v="2"/>
    <x v="3"/>
    <x v="22"/>
    <x v="44"/>
    <x v="3"/>
    <x v="3"/>
    <x v="33"/>
    <x v="18"/>
    <x v="21"/>
    <x v="68"/>
    <x v="68"/>
    <x v="0"/>
    <x v="1"/>
  </r>
  <r>
    <x v="380"/>
    <x v="182"/>
    <x v="1"/>
    <x v="0"/>
    <x v="0"/>
    <x v="5"/>
    <x v="1"/>
    <x v="41"/>
    <x v="3"/>
    <x v="59"/>
    <x v="21"/>
    <x v="7"/>
    <x v="12"/>
    <x v="100"/>
    <x v="100"/>
    <x v="0"/>
    <x v="0"/>
  </r>
  <r>
    <x v="381"/>
    <x v="25"/>
    <x v="0"/>
    <x v="4"/>
    <x v="5"/>
    <x v="0"/>
    <x v="20"/>
    <x v="16"/>
    <x v="7"/>
    <x v="18"/>
    <x v="55"/>
    <x v="31"/>
    <x v="19"/>
    <x v="172"/>
    <x v="172"/>
    <x v="0"/>
    <x v="0"/>
  </r>
  <r>
    <x v="382"/>
    <x v="125"/>
    <x v="1"/>
    <x v="4"/>
    <x v="0"/>
    <x v="6"/>
    <x v="6"/>
    <x v="44"/>
    <x v="28"/>
    <x v="47"/>
    <x v="2"/>
    <x v="24"/>
    <x v="20"/>
    <x v="64"/>
    <x v="64"/>
    <x v="0"/>
    <x v="1"/>
  </r>
  <r>
    <x v="383"/>
    <x v="135"/>
    <x v="0"/>
    <x v="1"/>
    <x v="4"/>
    <x v="6"/>
    <x v="5"/>
    <x v="12"/>
    <x v="53"/>
    <x v="18"/>
    <x v="0"/>
    <x v="55"/>
    <x v="1"/>
    <x v="47"/>
    <x v="47"/>
    <x v="0"/>
    <x v="0"/>
  </r>
  <r>
    <x v="384"/>
    <x v="183"/>
    <x v="0"/>
    <x v="1"/>
    <x v="0"/>
    <x v="3"/>
    <x v="31"/>
    <x v="28"/>
    <x v="22"/>
    <x v="36"/>
    <x v="51"/>
    <x v="20"/>
    <x v="20"/>
    <x v="151"/>
    <x v="151"/>
    <x v="0"/>
    <x v="1"/>
  </r>
  <r>
    <x v="385"/>
    <x v="22"/>
    <x v="1"/>
    <x v="0"/>
    <x v="4"/>
    <x v="6"/>
    <x v="15"/>
    <x v="18"/>
    <x v="50"/>
    <x v="60"/>
    <x v="2"/>
    <x v="50"/>
    <x v="21"/>
    <x v="179"/>
    <x v="179"/>
    <x v="1"/>
    <x v="2"/>
  </r>
  <r>
    <x v="386"/>
    <x v="178"/>
    <x v="1"/>
    <x v="2"/>
    <x v="1"/>
    <x v="3"/>
    <x v="32"/>
    <x v="6"/>
    <x v="57"/>
    <x v="17"/>
    <x v="14"/>
    <x v="20"/>
    <x v="40"/>
    <x v="171"/>
    <x v="171"/>
    <x v="0"/>
    <x v="1"/>
  </r>
  <r>
    <x v="387"/>
    <x v="135"/>
    <x v="1"/>
    <x v="3"/>
    <x v="4"/>
    <x v="3"/>
    <x v="6"/>
    <x v="3"/>
    <x v="17"/>
    <x v="35"/>
    <x v="1"/>
    <x v="29"/>
    <x v="17"/>
    <x v="14"/>
    <x v="14"/>
    <x v="0"/>
    <x v="1"/>
  </r>
  <r>
    <x v="388"/>
    <x v="184"/>
    <x v="1"/>
    <x v="0"/>
    <x v="5"/>
    <x v="1"/>
    <x v="22"/>
    <x v="32"/>
    <x v="28"/>
    <x v="55"/>
    <x v="50"/>
    <x v="29"/>
    <x v="48"/>
    <x v="180"/>
    <x v="180"/>
    <x v="0"/>
    <x v="0"/>
  </r>
  <r>
    <x v="389"/>
    <x v="118"/>
    <x v="1"/>
    <x v="1"/>
    <x v="3"/>
    <x v="6"/>
    <x v="4"/>
    <x v="43"/>
    <x v="22"/>
    <x v="47"/>
    <x v="16"/>
    <x v="5"/>
    <x v="41"/>
    <x v="102"/>
    <x v="102"/>
    <x v="0"/>
    <x v="1"/>
  </r>
  <r>
    <x v="390"/>
    <x v="124"/>
    <x v="1"/>
    <x v="4"/>
    <x v="1"/>
    <x v="1"/>
    <x v="9"/>
    <x v="44"/>
    <x v="57"/>
    <x v="4"/>
    <x v="11"/>
    <x v="11"/>
    <x v="35"/>
    <x v="153"/>
    <x v="153"/>
    <x v="0"/>
    <x v="1"/>
  </r>
  <r>
    <x v="391"/>
    <x v="119"/>
    <x v="0"/>
    <x v="4"/>
    <x v="0"/>
    <x v="0"/>
    <x v="8"/>
    <x v="49"/>
    <x v="30"/>
    <x v="8"/>
    <x v="32"/>
    <x v="19"/>
    <x v="4"/>
    <x v="1"/>
    <x v="1"/>
    <x v="0"/>
    <x v="1"/>
  </r>
  <r>
    <x v="392"/>
    <x v="85"/>
    <x v="0"/>
    <x v="0"/>
    <x v="0"/>
    <x v="4"/>
    <x v="36"/>
    <x v="9"/>
    <x v="19"/>
    <x v="23"/>
    <x v="40"/>
    <x v="14"/>
    <x v="10"/>
    <x v="57"/>
    <x v="57"/>
    <x v="0"/>
    <x v="1"/>
  </r>
  <r>
    <x v="393"/>
    <x v="75"/>
    <x v="1"/>
    <x v="0"/>
    <x v="1"/>
    <x v="5"/>
    <x v="31"/>
    <x v="15"/>
    <x v="37"/>
    <x v="25"/>
    <x v="21"/>
    <x v="14"/>
    <x v="11"/>
    <x v="4"/>
    <x v="4"/>
    <x v="0"/>
    <x v="1"/>
  </r>
  <r>
    <x v="394"/>
    <x v="7"/>
    <x v="1"/>
    <x v="3"/>
    <x v="1"/>
    <x v="3"/>
    <x v="6"/>
    <x v="31"/>
    <x v="32"/>
    <x v="35"/>
    <x v="45"/>
    <x v="5"/>
    <x v="50"/>
    <x v="22"/>
    <x v="22"/>
    <x v="0"/>
    <x v="1"/>
  </r>
  <r>
    <x v="395"/>
    <x v="185"/>
    <x v="1"/>
    <x v="4"/>
    <x v="4"/>
    <x v="1"/>
    <x v="2"/>
    <x v="55"/>
    <x v="50"/>
    <x v="3"/>
    <x v="61"/>
    <x v="17"/>
    <x v="32"/>
    <x v="81"/>
    <x v="81"/>
    <x v="0"/>
    <x v="1"/>
  </r>
  <r>
    <x v="396"/>
    <x v="119"/>
    <x v="0"/>
    <x v="2"/>
    <x v="3"/>
    <x v="7"/>
    <x v="11"/>
    <x v="49"/>
    <x v="9"/>
    <x v="59"/>
    <x v="8"/>
    <x v="1"/>
    <x v="24"/>
    <x v="24"/>
    <x v="24"/>
    <x v="0"/>
    <x v="0"/>
  </r>
  <r>
    <x v="397"/>
    <x v="104"/>
    <x v="0"/>
    <x v="4"/>
    <x v="4"/>
    <x v="0"/>
    <x v="42"/>
    <x v="44"/>
    <x v="32"/>
    <x v="16"/>
    <x v="25"/>
    <x v="6"/>
    <x v="1"/>
    <x v="148"/>
    <x v="148"/>
    <x v="0"/>
    <x v="0"/>
  </r>
  <r>
    <x v="398"/>
    <x v="167"/>
    <x v="1"/>
    <x v="1"/>
    <x v="0"/>
    <x v="4"/>
    <x v="25"/>
    <x v="24"/>
    <x v="57"/>
    <x v="4"/>
    <x v="23"/>
    <x v="27"/>
    <x v="32"/>
    <x v="164"/>
    <x v="164"/>
    <x v="0"/>
    <x v="1"/>
  </r>
  <r>
    <x v="399"/>
    <x v="186"/>
    <x v="0"/>
    <x v="4"/>
    <x v="3"/>
    <x v="2"/>
    <x v="17"/>
    <x v="42"/>
    <x v="48"/>
    <x v="14"/>
    <x v="7"/>
    <x v="58"/>
    <x v="51"/>
    <x v="80"/>
    <x v="80"/>
    <x v="0"/>
    <x v="0"/>
  </r>
  <r>
    <x v="400"/>
    <x v="37"/>
    <x v="1"/>
    <x v="1"/>
    <x v="5"/>
    <x v="1"/>
    <x v="32"/>
    <x v="10"/>
    <x v="19"/>
    <x v="15"/>
    <x v="38"/>
    <x v="40"/>
    <x v="53"/>
    <x v="89"/>
    <x v="89"/>
    <x v="0"/>
    <x v="1"/>
  </r>
  <r>
    <x v="401"/>
    <x v="187"/>
    <x v="0"/>
    <x v="4"/>
    <x v="4"/>
    <x v="7"/>
    <x v="36"/>
    <x v="16"/>
    <x v="34"/>
    <x v="16"/>
    <x v="46"/>
    <x v="16"/>
    <x v="34"/>
    <x v="177"/>
    <x v="177"/>
    <x v="0"/>
    <x v="0"/>
  </r>
  <r>
    <x v="402"/>
    <x v="68"/>
    <x v="1"/>
    <x v="0"/>
    <x v="4"/>
    <x v="4"/>
    <x v="20"/>
    <x v="29"/>
    <x v="45"/>
    <x v="11"/>
    <x v="9"/>
    <x v="40"/>
    <x v="24"/>
    <x v="33"/>
    <x v="33"/>
    <x v="0"/>
    <x v="1"/>
  </r>
  <r>
    <x v="403"/>
    <x v="188"/>
    <x v="1"/>
    <x v="1"/>
    <x v="3"/>
    <x v="4"/>
    <x v="20"/>
    <x v="11"/>
    <x v="28"/>
    <x v="5"/>
    <x v="7"/>
    <x v="4"/>
    <x v="2"/>
    <x v="25"/>
    <x v="25"/>
    <x v="0"/>
    <x v="1"/>
  </r>
  <r>
    <x v="404"/>
    <x v="5"/>
    <x v="0"/>
    <x v="3"/>
    <x v="5"/>
    <x v="2"/>
    <x v="9"/>
    <x v="8"/>
    <x v="12"/>
    <x v="14"/>
    <x v="50"/>
    <x v="4"/>
    <x v="13"/>
    <x v="138"/>
    <x v="138"/>
    <x v="0"/>
    <x v="1"/>
  </r>
  <r>
    <x v="405"/>
    <x v="170"/>
    <x v="0"/>
    <x v="1"/>
    <x v="2"/>
    <x v="1"/>
    <x v="32"/>
    <x v="28"/>
    <x v="39"/>
    <x v="3"/>
    <x v="14"/>
    <x v="30"/>
    <x v="0"/>
    <x v="42"/>
    <x v="42"/>
    <x v="0"/>
    <x v="1"/>
  </r>
  <r>
    <x v="406"/>
    <x v="17"/>
    <x v="0"/>
    <x v="0"/>
    <x v="5"/>
    <x v="7"/>
    <x v="9"/>
    <x v="44"/>
    <x v="14"/>
    <x v="23"/>
    <x v="37"/>
    <x v="33"/>
    <x v="13"/>
    <x v="21"/>
    <x v="21"/>
    <x v="0"/>
    <x v="1"/>
  </r>
  <r>
    <x v="407"/>
    <x v="189"/>
    <x v="0"/>
    <x v="1"/>
    <x v="5"/>
    <x v="5"/>
    <x v="10"/>
    <x v="32"/>
    <x v="13"/>
    <x v="35"/>
    <x v="3"/>
    <x v="2"/>
    <x v="42"/>
    <x v="15"/>
    <x v="15"/>
    <x v="0"/>
    <x v="0"/>
  </r>
  <r>
    <x v="408"/>
    <x v="190"/>
    <x v="1"/>
    <x v="4"/>
    <x v="3"/>
    <x v="5"/>
    <x v="19"/>
    <x v="59"/>
    <x v="22"/>
    <x v="14"/>
    <x v="54"/>
    <x v="49"/>
    <x v="10"/>
    <x v="81"/>
    <x v="81"/>
    <x v="0"/>
    <x v="1"/>
  </r>
  <r>
    <x v="409"/>
    <x v="116"/>
    <x v="1"/>
    <x v="3"/>
    <x v="5"/>
    <x v="0"/>
    <x v="17"/>
    <x v="44"/>
    <x v="10"/>
    <x v="2"/>
    <x v="8"/>
    <x v="29"/>
    <x v="7"/>
    <x v="22"/>
    <x v="22"/>
    <x v="0"/>
    <x v="1"/>
  </r>
  <r>
    <x v="410"/>
    <x v="44"/>
    <x v="1"/>
    <x v="4"/>
    <x v="5"/>
    <x v="1"/>
    <x v="19"/>
    <x v="13"/>
    <x v="23"/>
    <x v="35"/>
    <x v="38"/>
    <x v="25"/>
    <x v="7"/>
    <x v="129"/>
    <x v="129"/>
    <x v="0"/>
    <x v="1"/>
  </r>
  <r>
    <x v="411"/>
    <x v="94"/>
    <x v="1"/>
    <x v="2"/>
    <x v="1"/>
    <x v="2"/>
    <x v="7"/>
    <x v="55"/>
    <x v="20"/>
    <x v="54"/>
    <x v="8"/>
    <x v="17"/>
    <x v="9"/>
    <x v="87"/>
    <x v="87"/>
    <x v="0"/>
    <x v="1"/>
  </r>
  <r>
    <x v="412"/>
    <x v="28"/>
    <x v="1"/>
    <x v="0"/>
    <x v="3"/>
    <x v="7"/>
    <x v="3"/>
    <x v="58"/>
    <x v="21"/>
    <x v="4"/>
    <x v="9"/>
    <x v="42"/>
    <x v="7"/>
    <x v="152"/>
    <x v="152"/>
    <x v="0"/>
    <x v="1"/>
  </r>
  <r>
    <x v="413"/>
    <x v="41"/>
    <x v="1"/>
    <x v="2"/>
    <x v="1"/>
    <x v="0"/>
    <x v="9"/>
    <x v="10"/>
    <x v="32"/>
    <x v="12"/>
    <x v="46"/>
    <x v="1"/>
    <x v="2"/>
    <x v="25"/>
    <x v="25"/>
    <x v="0"/>
    <x v="1"/>
  </r>
  <r>
    <x v="414"/>
    <x v="162"/>
    <x v="1"/>
    <x v="4"/>
    <x v="0"/>
    <x v="2"/>
    <x v="4"/>
    <x v="51"/>
    <x v="20"/>
    <x v="10"/>
    <x v="37"/>
    <x v="4"/>
    <x v="16"/>
    <x v="77"/>
    <x v="77"/>
    <x v="0"/>
    <x v="1"/>
  </r>
  <r>
    <x v="415"/>
    <x v="191"/>
    <x v="1"/>
    <x v="1"/>
    <x v="3"/>
    <x v="7"/>
    <x v="33"/>
    <x v="20"/>
    <x v="13"/>
    <x v="50"/>
    <x v="12"/>
    <x v="27"/>
    <x v="42"/>
    <x v="122"/>
    <x v="122"/>
    <x v="0"/>
    <x v="0"/>
  </r>
  <r>
    <x v="416"/>
    <x v="134"/>
    <x v="1"/>
    <x v="2"/>
    <x v="4"/>
    <x v="2"/>
    <x v="12"/>
    <x v="51"/>
    <x v="55"/>
    <x v="56"/>
    <x v="63"/>
    <x v="24"/>
    <x v="63"/>
    <x v="181"/>
    <x v="181"/>
    <x v="1"/>
    <x v="2"/>
  </r>
  <r>
    <x v="417"/>
    <x v="172"/>
    <x v="0"/>
    <x v="3"/>
    <x v="4"/>
    <x v="7"/>
    <x v="1"/>
    <x v="34"/>
    <x v="59"/>
    <x v="48"/>
    <x v="52"/>
    <x v="39"/>
    <x v="24"/>
    <x v="182"/>
    <x v="182"/>
    <x v="0"/>
    <x v="0"/>
  </r>
  <r>
    <x v="418"/>
    <x v="183"/>
    <x v="1"/>
    <x v="4"/>
    <x v="0"/>
    <x v="7"/>
    <x v="12"/>
    <x v="55"/>
    <x v="21"/>
    <x v="8"/>
    <x v="38"/>
    <x v="43"/>
    <x v="41"/>
    <x v="18"/>
    <x v="18"/>
    <x v="0"/>
    <x v="1"/>
  </r>
  <r>
    <x v="419"/>
    <x v="170"/>
    <x v="0"/>
    <x v="4"/>
    <x v="0"/>
    <x v="4"/>
    <x v="19"/>
    <x v="18"/>
    <x v="58"/>
    <x v="16"/>
    <x v="25"/>
    <x v="24"/>
    <x v="15"/>
    <x v="146"/>
    <x v="146"/>
    <x v="0"/>
    <x v="1"/>
  </r>
  <r>
    <x v="420"/>
    <x v="73"/>
    <x v="1"/>
    <x v="4"/>
    <x v="3"/>
    <x v="7"/>
    <x v="12"/>
    <x v="8"/>
    <x v="15"/>
    <x v="36"/>
    <x v="43"/>
    <x v="32"/>
    <x v="47"/>
    <x v="167"/>
    <x v="167"/>
    <x v="1"/>
    <x v="2"/>
  </r>
  <r>
    <x v="421"/>
    <x v="184"/>
    <x v="0"/>
    <x v="0"/>
    <x v="4"/>
    <x v="4"/>
    <x v="3"/>
    <x v="22"/>
    <x v="19"/>
    <x v="55"/>
    <x v="46"/>
    <x v="37"/>
    <x v="35"/>
    <x v="28"/>
    <x v="28"/>
    <x v="0"/>
    <x v="1"/>
  </r>
  <r>
    <x v="422"/>
    <x v="48"/>
    <x v="1"/>
    <x v="0"/>
    <x v="3"/>
    <x v="5"/>
    <x v="13"/>
    <x v="0"/>
    <x v="4"/>
    <x v="8"/>
    <x v="19"/>
    <x v="46"/>
    <x v="9"/>
    <x v="8"/>
    <x v="8"/>
    <x v="0"/>
    <x v="0"/>
  </r>
  <r>
    <x v="423"/>
    <x v="127"/>
    <x v="1"/>
    <x v="0"/>
    <x v="3"/>
    <x v="0"/>
    <x v="25"/>
    <x v="36"/>
    <x v="1"/>
    <x v="7"/>
    <x v="30"/>
    <x v="10"/>
    <x v="13"/>
    <x v="108"/>
    <x v="108"/>
    <x v="0"/>
    <x v="0"/>
  </r>
  <r>
    <x v="424"/>
    <x v="63"/>
    <x v="0"/>
    <x v="4"/>
    <x v="0"/>
    <x v="4"/>
    <x v="9"/>
    <x v="49"/>
    <x v="21"/>
    <x v="48"/>
    <x v="1"/>
    <x v="7"/>
    <x v="3"/>
    <x v="180"/>
    <x v="180"/>
    <x v="0"/>
    <x v="0"/>
  </r>
  <r>
    <x v="425"/>
    <x v="158"/>
    <x v="0"/>
    <x v="4"/>
    <x v="1"/>
    <x v="4"/>
    <x v="11"/>
    <x v="32"/>
    <x v="32"/>
    <x v="35"/>
    <x v="22"/>
    <x v="25"/>
    <x v="16"/>
    <x v="170"/>
    <x v="170"/>
    <x v="0"/>
    <x v="0"/>
  </r>
  <r>
    <x v="426"/>
    <x v="192"/>
    <x v="0"/>
    <x v="1"/>
    <x v="4"/>
    <x v="3"/>
    <x v="28"/>
    <x v="53"/>
    <x v="1"/>
    <x v="33"/>
    <x v="38"/>
    <x v="25"/>
    <x v="36"/>
    <x v="9"/>
    <x v="9"/>
    <x v="0"/>
    <x v="0"/>
  </r>
  <r>
    <x v="427"/>
    <x v="193"/>
    <x v="0"/>
    <x v="4"/>
    <x v="2"/>
    <x v="7"/>
    <x v="27"/>
    <x v="49"/>
    <x v="17"/>
    <x v="21"/>
    <x v="8"/>
    <x v="33"/>
    <x v="11"/>
    <x v="166"/>
    <x v="166"/>
    <x v="0"/>
    <x v="1"/>
  </r>
  <r>
    <x v="428"/>
    <x v="171"/>
    <x v="1"/>
    <x v="1"/>
    <x v="0"/>
    <x v="0"/>
    <x v="31"/>
    <x v="54"/>
    <x v="54"/>
    <x v="30"/>
    <x v="0"/>
    <x v="39"/>
    <x v="3"/>
    <x v="174"/>
    <x v="174"/>
    <x v="0"/>
    <x v="0"/>
  </r>
  <r>
    <x v="429"/>
    <x v="51"/>
    <x v="1"/>
    <x v="0"/>
    <x v="0"/>
    <x v="6"/>
    <x v="4"/>
    <x v="17"/>
    <x v="23"/>
    <x v="23"/>
    <x v="7"/>
    <x v="9"/>
    <x v="6"/>
    <x v="129"/>
    <x v="129"/>
    <x v="0"/>
    <x v="1"/>
  </r>
  <r>
    <x v="430"/>
    <x v="97"/>
    <x v="1"/>
    <x v="2"/>
    <x v="1"/>
    <x v="2"/>
    <x v="4"/>
    <x v="8"/>
    <x v="14"/>
    <x v="1"/>
    <x v="33"/>
    <x v="13"/>
    <x v="43"/>
    <x v="64"/>
    <x v="64"/>
    <x v="0"/>
    <x v="1"/>
  </r>
  <r>
    <x v="431"/>
    <x v="191"/>
    <x v="1"/>
    <x v="4"/>
    <x v="1"/>
    <x v="7"/>
    <x v="10"/>
    <x v="39"/>
    <x v="14"/>
    <x v="51"/>
    <x v="51"/>
    <x v="25"/>
    <x v="21"/>
    <x v="89"/>
    <x v="89"/>
    <x v="0"/>
    <x v="1"/>
  </r>
  <r>
    <x v="432"/>
    <x v="169"/>
    <x v="0"/>
    <x v="1"/>
    <x v="0"/>
    <x v="7"/>
    <x v="15"/>
    <x v="35"/>
    <x v="9"/>
    <x v="8"/>
    <x v="50"/>
    <x v="7"/>
    <x v="39"/>
    <x v="138"/>
    <x v="138"/>
    <x v="0"/>
    <x v="1"/>
  </r>
  <r>
    <x v="433"/>
    <x v="26"/>
    <x v="0"/>
    <x v="2"/>
    <x v="5"/>
    <x v="1"/>
    <x v="5"/>
    <x v="28"/>
    <x v="15"/>
    <x v="12"/>
    <x v="23"/>
    <x v="30"/>
    <x v="29"/>
    <x v="2"/>
    <x v="2"/>
    <x v="0"/>
    <x v="1"/>
  </r>
  <r>
    <x v="434"/>
    <x v="13"/>
    <x v="0"/>
    <x v="3"/>
    <x v="5"/>
    <x v="2"/>
    <x v="14"/>
    <x v="16"/>
    <x v="43"/>
    <x v="33"/>
    <x v="21"/>
    <x v="59"/>
    <x v="1"/>
    <x v="47"/>
    <x v="47"/>
    <x v="0"/>
    <x v="0"/>
  </r>
  <r>
    <x v="435"/>
    <x v="159"/>
    <x v="0"/>
    <x v="2"/>
    <x v="1"/>
    <x v="6"/>
    <x v="28"/>
    <x v="40"/>
    <x v="37"/>
    <x v="47"/>
    <x v="9"/>
    <x v="29"/>
    <x v="4"/>
    <x v="183"/>
    <x v="183"/>
    <x v="0"/>
    <x v="1"/>
  </r>
  <r>
    <x v="436"/>
    <x v="194"/>
    <x v="1"/>
    <x v="3"/>
    <x v="2"/>
    <x v="3"/>
    <x v="13"/>
    <x v="22"/>
    <x v="0"/>
    <x v="18"/>
    <x v="52"/>
    <x v="10"/>
    <x v="22"/>
    <x v="41"/>
    <x v="41"/>
    <x v="0"/>
    <x v="0"/>
  </r>
  <r>
    <x v="437"/>
    <x v="178"/>
    <x v="0"/>
    <x v="1"/>
    <x v="1"/>
    <x v="5"/>
    <x v="2"/>
    <x v="19"/>
    <x v="21"/>
    <x v="23"/>
    <x v="35"/>
    <x v="6"/>
    <x v="2"/>
    <x v="87"/>
    <x v="87"/>
    <x v="0"/>
    <x v="1"/>
  </r>
  <r>
    <x v="438"/>
    <x v="188"/>
    <x v="1"/>
    <x v="0"/>
    <x v="5"/>
    <x v="1"/>
    <x v="43"/>
    <x v="8"/>
    <x v="4"/>
    <x v="18"/>
    <x v="26"/>
    <x v="14"/>
    <x v="24"/>
    <x v="154"/>
    <x v="154"/>
    <x v="0"/>
    <x v="1"/>
  </r>
  <r>
    <x v="439"/>
    <x v="29"/>
    <x v="0"/>
    <x v="1"/>
    <x v="0"/>
    <x v="1"/>
    <x v="1"/>
    <x v="15"/>
    <x v="19"/>
    <x v="19"/>
    <x v="61"/>
    <x v="4"/>
    <x v="10"/>
    <x v="72"/>
    <x v="72"/>
    <x v="0"/>
    <x v="1"/>
  </r>
  <r>
    <x v="440"/>
    <x v="33"/>
    <x v="1"/>
    <x v="1"/>
    <x v="1"/>
    <x v="0"/>
    <x v="6"/>
    <x v="31"/>
    <x v="59"/>
    <x v="46"/>
    <x v="16"/>
    <x v="14"/>
    <x v="13"/>
    <x v="129"/>
    <x v="129"/>
    <x v="0"/>
    <x v="1"/>
  </r>
  <r>
    <x v="441"/>
    <x v="135"/>
    <x v="0"/>
    <x v="1"/>
    <x v="1"/>
    <x v="5"/>
    <x v="10"/>
    <x v="8"/>
    <x v="13"/>
    <x v="19"/>
    <x v="9"/>
    <x v="3"/>
    <x v="42"/>
    <x v="143"/>
    <x v="143"/>
    <x v="0"/>
    <x v="0"/>
  </r>
  <r>
    <x v="442"/>
    <x v="105"/>
    <x v="1"/>
    <x v="1"/>
    <x v="2"/>
    <x v="1"/>
    <x v="23"/>
    <x v="17"/>
    <x v="27"/>
    <x v="6"/>
    <x v="0"/>
    <x v="39"/>
    <x v="26"/>
    <x v="184"/>
    <x v="184"/>
    <x v="0"/>
    <x v="0"/>
  </r>
  <r>
    <x v="443"/>
    <x v="119"/>
    <x v="1"/>
    <x v="2"/>
    <x v="3"/>
    <x v="3"/>
    <x v="8"/>
    <x v="37"/>
    <x v="42"/>
    <x v="17"/>
    <x v="9"/>
    <x v="18"/>
    <x v="63"/>
    <x v="106"/>
    <x v="106"/>
    <x v="0"/>
    <x v="1"/>
  </r>
  <r>
    <x v="444"/>
    <x v="51"/>
    <x v="1"/>
    <x v="4"/>
    <x v="0"/>
    <x v="4"/>
    <x v="7"/>
    <x v="6"/>
    <x v="35"/>
    <x v="31"/>
    <x v="37"/>
    <x v="19"/>
    <x v="24"/>
    <x v="156"/>
    <x v="156"/>
    <x v="0"/>
    <x v="0"/>
  </r>
  <r>
    <x v="445"/>
    <x v="46"/>
    <x v="0"/>
    <x v="0"/>
    <x v="1"/>
    <x v="1"/>
    <x v="19"/>
    <x v="63"/>
    <x v="19"/>
    <x v="36"/>
    <x v="25"/>
    <x v="4"/>
    <x v="50"/>
    <x v="92"/>
    <x v="92"/>
    <x v="0"/>
    <x v="1"/>
  </r>
  <r>
    <x v="446"/>
    <x v="195"/>
    <x v="1"/>
    <x v="3"/>
    <x v="0"/>
    <x v="7"/>
    <x v="1"/>
    <x v="16"/>
    <x v="12"/>
    <x v="48"/>
    <x v="22"/>
    <x v="37"/>
    <x v="42"/>
    <x v="66"/>
    <x v="66"/>
    <x v="0"/>
    <x v="0"/>
  </r>
  <r>
    <x v="447"/>
    <x v="21"/>
    <x v="1"/>
    <x v="3"/>
    <x v="5"/>
    <x v="4"/>
    <x v="15"/>
    <x v="2"/>
    <x v="54"/>
    <x v="54"/>
    <x v="22"/>
    <x v="19"/>
    <x v="7"/>
    <x v="61"/>
    <x v="61"/>
    <x v="0"/>
    <x v="0"/>
  </r>
  <r>
    <x v="448"/>
    <x v="196"/>
    <x v="0"/>
    <x v="0"/>
    <x v="0"/>
    <x v="5"/>
    <x v="34"/>
    <x v="9"/>
    <x v="23"/>
    <x v="40"/>
    <x v="8"/>
    <x v="4"/>
    <x v="0"/>
    <x v="68"/>
    <x v="68"/>
    <x v="0"/>
    <x v="1"/>
  </r>
  <r>
    <x v="449"/>
    <x v="108"/>
    <x v="1"/>
    <x v="3"/>
    <x v="4"/>
    <x v="0"/>
    <x v="1"/>
    <x v="10"/>
    <x v="10"/>
    <x v="35"/>
    <x v="0"/>
    <x v="19"/>
    <x v="19"/>
    <x v="24"/>
    <x v="24"/>
    <x v="0"/>
    <x v="0"/>
  </r>
  <r>
    <x v="450"/>
    <x v="119"/>
    <x v="0"/>
    <x v="4"/>
    <x v="4"/>
    <x v="7"/>
    <x v="11"/>
    <x v="41"/>
    <x v="7"/>
    <x v="16"/>
    <x v="5"/>
    <x v="19"/>
    <x v="3"/>
    <x v="168"/>
    <x v="168"/>
    <x v="0"/>
    <x v="0"/>
  </r>
  <r>
    <x v="451"/>
    <x v="181"/>
    <x v="1"/>
    <x v="1"/>
    <x v="1"/>
    <x v="3"/>
    <x v="1"/>
    <x v="7"/>
    <x v="9"/>
    <x v="33"/>
    <x v="16"/>
    <x v="16"/>
    <x v="36"/>
    <x v="61"/>
    <x v="61"/>
    <x v="0"/>
    <x v="0"/>
  </r>
  <r>
    <x v="452"/>
    <x v="89"/>
    <x v="1"/>
    <x v="2"/>
    <x v="4"/>
    <x v="5"/>
    <x v="3"/>
    <x v="48"/>
    <x v="61"/>
    <x v="53"/>
    <x v="53"/>
    <x v="60"/>
    <x v="53"/>
    <x v="185"/>
    <x v="185"/>
    <x v="1"/>
    <x v="2"/>
  </r>
  <r>
    <x v="453"/>
    <x v="132"/>
    <x v="1"/>
    <x v="1"/>
    <x v="2"/>
    <x v="1"/>
    <x v="16"/>
    <x v="9"/>
    <x v="13"/>
    <x v="59"/>
    <x v="52"/>
    <x v="19"/>
    <x v="16"/>
    <x v="156"/>
    <x v="156"/>
    <x v="0"/>
    <x v="0"/>
  </r>
  <r>
    <x v="454"/>
    <x v="36"/>
    <x v="1"/>
    <x v="0"/>
    <x v="0"/>
    <x v="0"/>
    <x v="2"/>
    <x v="33"/>
    <x v="12"/>
    <x v="54"/>
    <x v="31"/>
    <x v="5"/>
    <x v="64"/>
    <x v="174"/>
    <x v="174"/>
    <x v="0"/>
    <x v="0"/>
  </r>
  <r>
    <x v="455"/>
    <x v="5"/>
    <x v="0"/>
    <x v="3"/>
    <x v="5"/>
    <x v="2"/>
    <x v="30"/>
    <x v="43"/>
    <x v="2"/>
    <x v="25"/>
    <x v="22"/>
    <x v="20"/>
    <x v="16"/>
    <x v="85"/>
    <x v="85"/>
    <x v="0"/>
    <x v="1"/>
  </r>
  <r>
    <x v="456"/>
    <x v="95"/>
    <x v="1"/>
    <x v="0"/>
    <x v="3"/>
    <x v="6"/>
    <x v="25"/>
    <x v="36"/>
    <x v="7"/>
    <x v="54"/>
    <x v="35"/>
    <x v="27"/>
    <x v="11"/>
    <x v="149"/>
    <x v="149"/>
    <x v="0"/>
    <x v="0"/>
  </r>
  <r>
    <x v="457"/>
    <x v="33"/>
    <x v="1"/>
    <x v="0"/>
    <x v="4"/>
    <x v="6"/>
    <x v="28"/>
    <x v="32"/>
    <x v="46"/>
    <x v="21"/>
    <x v="10"/>
    <x v="31"/>
    <x v="5"/>
    <x v="100"/>
    <x v="100"/>
    <x v="0"/>
    <x v="0"/>
  </r>
  <r>
    <x v="458"/>
    <x v="76"/>
    <x v="1"/>
    <x v="4"/>
    <x v="2"/>
    <x v="7"/>
    <x v="8"/>
    <x v="5"/>
    <x v="23"/>
    <x v="30"/>
    <x v="29"/>
    <x v="36"/>
    <x v="62"/>
    <x v="80"/>
    <x v="80"/>
    <x v="0"/>
    <x v="0"/>
  </r>
  <r>
    <x v="459"/>
    <x v="197"/>
    <x v="1"/>
    <x v="0"/>
    <x v="1"/>
    <x v="7"/>
    <x v="21"/>
    <x v="7"/>
    <x v="46"/>
    <x v="39"/>
    <x v="50"/>
    <x v="7"/>
    <x v="4"/>
    <x v="186"/>
    <x v="186"/>
    <x v="0"/>
    <x v="0"/>
  </r>
  <r>
    <x v="460"/>
    <x v="198"/>
    <x v="0"/>
    <x v="1"/>
    <x v="0"/>
    <x v="1"/>
    <x v="36"/>
    <x v="31"/>
    <x v="23"/>
    <x v="15"/>
    <x v="33"/>
    <x v="27"/>
    <x v="7"/>
    <x v="85"/>
    <x v="85"/>
    <x v="0"/>
    <x v="1"/>
  </r>
  <r>
    <x v="461"/>
    <x v="80"/>
    <x v="1"/>
    <x v="1"/>
    <x v="0"/>
    <x v="2"/>
    <x v="33"/>
    <x v="0"/>
    <x v="28"/>
    <x v="30"/>
    <x v="7"/>
    <x v="4"/>
    <x v="19"/>
    <x v="1"/>
    <x v="1"/>
    <x v="0"/>
    <x v="1"/>
  </r>
  <r>
    <x v="462"/>
    <x v="195"/>
    <x v="1"/>
    <x v="2"/>
    <x v="4"/>
    <x v="1"/>
    <x v="31"/>
    <x v="15"/>
    <x v="13"/>
    <x v="47"/>
    <x v="14"/>
    <x v="6"/>
    <x v="50"/>
    <x v="65"/>
    <x v="65"/>
    <x v="0"/>
    <x v="1"/>
  </r>
  <r>
    <x v="463"/>
    <x v="147"/>
    <x v="0"/>
    <x v="1"/>
    <x v="4"/>
    <x v="6"/>
    <x v="12"/>
    <x v="0"/>
    <x v="1"/>
    <x v="1"/>
    <x v="50"/>
    <x v="27"/>
    <x v="39"/>
    <x v="21"/>
    <x v="21"/>
    <x v="0"/>
    <x v="1"/>
  </r>
  <r>
    <x v="464"/>
    <x v="199"/>
    <x v="1"/>
    <x v="1"/>
    <x v="0"/>
    <x v="0"/>
    <x v="12"/>
    <x v="9"/>
    <x v="28"/>
    <x v="47"/>
    <x v="25"/>
    <x v="22"/>
    <x v="50"/>
    <x v="187"/>
    <x v="187"/>
    <x v="0"/>
    <x v="1"/>
  </r>
  <r>
    <x v="465"/>
    <x v="36"/>
    <x v="0"/>
    <x v="1"/>
    <x v="4"/>
    <x v="3"/>
    <x v="20"/>
    <x v="52"/>
    <x v="4"/>
    <x v="32"/>
    <x v="3"/>
    <x v="9"/>
    <x v="21"/>
    <x v="51"/>
    <x v="51"/>
    <x v="0"/>
    <x v="1"/>
  </r>
  <r>
    <x v="466"/>
    <x v="163"/>
    <x v="0"/>
    <x v="0"/>
    <x v="4"/>
    <x v="3"/>
    <x v="28"/>
    <x v="20"/>
    <x v="44"/>
    <x v="5"/>
    <x v="5"/>
    <x v="16"/>
    <x v="62"/>
    <x v="8"/>
    <x v="8"/>
    <x v="0"/>
    <x v="0"/>
  </r>
  <r>
    <x v="467"/>
    <x v="105"/>
    <x v="0"/>
    <x v="4"/>
    <x v="5"/>
    <x v="5"/>
    <x v="30"/>
    <x v="26"/>
    <x v="44"/>
    <x v="25"/>
    <x v="59"/>
    <x v="4"/>
    <x v="50"/>
    <x v="94"/>
    <x v="94"/>
    <x v="0"/>
    <x v="1"/>
  </r>
  <r>
    <x v="468"/>
    <x v="80"/>
    <x v="0"/>
    <x v="4"/>
    <x v="3"/>
    <x v="7"/>
    <x v="11"/>
    <x v="46"/>
    <x v="46"/>
    <x v="48"/>
    <x v="25"/>
    <x v="37"/>
    <x v="2"/>
    <x v="36"/>
    <x v="36"/>
    <x v="0"/>
    <x v="0"/>
  </r>
  <r>
    <x v="469"/>
    <x v="23"/>
    <x v="1"/>
    <x v="4"/>
    <x v="3"/>
    <x v="0"/>
    <x v="31"/>
    <x v="15"/>
    <x v="43"/>
    <x v="6"/>
    <x v="37"/>
    <x v="37"/>
    <x v="9"/>
    <x v="156"/>
    <x v="156"/>
    <x v="0"/>
    <x v="0"/>
  </r>
  <r>
    <x v="470"/>
    <x v="195"/>
    <x v="0"/>
    <x v="3"/>
    <x v="2"/>
    <x v="7"/>
    <x v="25"/>
    <x v="55"/>
    <x v="13"/>
    <x v="1"/>
    <x v="35"/>
    <x v="37"/>
    <x v="8"/>
    <x v="27"/>
    <x v="27"/>
    <x v="0"/>
    <x v="0"/>
  </r>
  <r>
    <x v="471"/>
    <x v="70"/>
    <x v="1"/>
    <x v="3"/>
    <x v="0"/>
    <x v="0"/>
    <x v="39"/>
    <x v="3"/>
    <x v="9"/>
    <x v="25"/>
    <x v="10"/>
    <x v="3"/>
    <x v="7"/>
    <x v="40"/>
    <x v="40"/>
    <x v="0"/>
    <x v="1"/>
  </r>
  <r>
    <x v="472"/>
    <x v="66"/>
    <x v="1"/>
    <x v="4"/>
    <x v="4"/>
    <x v="0"/>
    <x v="28"/>
    <x v="6"/>
    <x v="53"/>
    <x v="54"/>
    <x v="14"/>
    <x v="23"/>
    <x v="62"/>
    <x v="174"/>
    <x v="174"/>
    <x v="0"/>
    <x v="0"/>
  </r>
  <r>
    <x v="473"/>
    <x v="12"/>
    <x v="1"/>
    <x v="1"/>
    <x v="2"/>
    <x v="1"/>
    <x v="3"/>
    <x v="63"/>
    <x v="2"/>
    <x v="51"/>
    <x v="49"/>
    <x v="26"/>
    <x v="58"/>
    <x v="160"/>
    <x v="160"/>
    <x v="1"/>
    <x v="2"/>
  </r>
  <r>
    <x v="474"/>
    <x v="35"/>
    <x v="0"/>
    <x v="3"/>
    <x v="3"/>
    <x v="1"/>
    <x v="4"/>
    <x v="25"/>
    <x v="10"/>
    <x v="35"/>
    <x v="17"/>
    <x v="22"/>
    <x v="41"/>
    <x v="29"/>
    <x v="29"/>
    <x v="0"/>
    <x v="1"/>
  </r>
  <r>
    <x v="475"/>
    <x v="11"/>
    <x v="0"/>
    <x v="0"/>
    <x v="3"/>
    <x v="3"/>
    <x v="31"/>
    <x v="57"/>
    <x v="54"/>
    <x v="18"/>
    <x v="5"/>
    <x v="28"/>
    <x v="22"/>
    <x v="80"/>
    <x v="80"/>
    <x v="0"/>
    <x v="0"/>
  </r>
  <r>
    <x v="476"/>
    <x v="46"/>
    <x v="0"/>
    <x v="2"/>
    <x v="5"/>
    <x v="2"/>
    <x v="9"/>
    <x v="7"/>
    <x v="46"/>
    <x v="16"/>
    <x v="0"/>
    <x v="35"/>
    <x v="3"/>
    <x v="126"/>
    <x v="126"/>
    <x v="0"/>
    <x v="0"/>
  </r>
  <r>
    <x v="477"/>
    <x v="114"/>
    <x v="1"/>
    <x v="1"/>
    <x v="4"/>
    <x v="0"/>
    <x v="8"/>
    <x v="25"/>
    <x v="9"/>
    <x v="43"/>
    <x v="20"/>
    <x v="12"/>
    <x v="54"/>
    <x v="169"/>
    <x v="169"/>
    <x v="0"/>
    <x v="1"/>
  </r>
  <r>
    <x v="478"/>
    <x v="0"/>
    <x v="0"/>
    <x v="1"/>
    <x v="1"/>
    <x v="2"/>
    <x v="19"/>
    <x v="28"/>
    <x v="46"/>
    <x v="4"/>
    <x v="22"/>
    <x v="10"/>
    <x v="37"/>
    <x v="149"/>
    <x v="149"/>
    <x v="0"/>
    <x v="0"/>
  </r>
  <r>
    <x v="479"/>
    <x v="126"/>
    <x v="1"/>
    <x v="0"/>
    <x v="2"/>
    <x v="5"/>
    <x v="8"/>
    <x v="6"/>
    <x v="30"/>
    <x v="17"/>
    <x v="12"/>
    <x v="61"/>
    <x v="20"/>
    <x v="188"/>
    <x v="188"/>
    <x v="0"/>
    <x v="1"/>
  </r>
  <r>
    <x v="480"/>
    <x v="117"/>
    <x v="0"/>
    <x v="2"/>
    <x v="5"/>
    <x v="7"/>
    <x v="39"/>
    <x v="13"/>
    <x v="64"/>
    <x v="36"/>
    <x v="45"/>
    <x v="13"/>
    <x v="20"/>
    <x v="189"/>
    <x v="189"/>
    <x v="1"/>
    <x v="2"/>
  </r>
  <r>
    <x v="481"/>
    <x v="180"/>
    <x v="0"/>
    <x v="4"/>
    <x v="4"/>
    <x v="1"/>
    <x v="1"/>
    <x v="2"/>
    <x v="17"/>
    <x v="7"/>
    <x v="29"/>
    <x v="4"/>
    <x v="3"/>
    <x v="3"/>
    <x v="3"/>
    <x v="0"/>
    <x v="0"/>
  </r>
  <r>
    <x v="482"/>
    <x v="112"/>
    <x v="0"/>
    <x v="2"/>
    <x v="3"/>
    <x v="2"/>
    <x v="30"/>
    <x v="6"/>
    <x v="33"/>
    <x v="33"/>
    <x v="29"/>
    <x v="17"/>
    <x v="59"/>
    <x v="165"/>
    <x v="165"/>
    <x v="0"/>
    <x v="0"/>
  </r>
  <r>
    <x v="483"/>
    <x v="95"/>
    <x v="0"/>
    <x v="0"/>
    <x v="3"/>
    <x v="0"/>
    <x v="4"/>
    <x v="44"/>
    <x v="5"/>
    <x v="10"/>
    <x v="28"/>
    <x v="17"/>
    <x v="0"/>
    <x v="77"/>
    <x v="77"/>
    <x v="0"/>
    <x v="1"/>
  </r>
  <r>
    <x v="484"/>
    <x v="161"/>
    <x v="0"/>
    <x v="3"/>
    <x v="0"/>
    <x v="4"/>
    <x v="22"/>
    <x v="17"/>
    <x v="21"/>
    <x v="14"/>
    <x v="50"/>
    <x v="10"/>
    <x v="23"/>
    <x v="25"/>
    <x v="25"/>
    <x v="0"/>
    <x v="1"/>
  </r>
  <r>
    <x v="485"/>
    <x v="197"/>
    <x v="0"/>
    <x v="4"/>
    <x v="0"/>
    <x v="4"/>
    <x v="11"/>
    <x v="35"/>
    <x v="50"/>
    <x v="24"/>
    <x v="16"/>
    <x v="21"/>
    <x v="23"/>
    <x v="183"/>
    <x v="183"/>
    <x v="0"/>
    <x v="1"/>
  </r>
  <r>
    <x v="486"/>
    <x v="200"/>
    <x v="0"/>
    <x v="4"/>
    <x v="5"/>
    <x v="0"/>
    <x v="36"/>
    <x v="0"/>
    <x v="44"/>
    <x v="33"/>
    <x v="35"/>
    <x v="23"/>
    <x v="1"/>
    <x v="156"/>
    <x v="156"/>
    <x v="0"/>
    <x v="0"/>
  </r>
  <r>
    <x v="487"/>
    <x v="38"/>
    <x v="0"/>
    <x v="3"/>
    <x v="5"/>
    <x v="1"/>
    <x v="1"/>
    <x v="2"/>
    <x v="30"/>
    <x v="2"/>
    <x v="43"/>
    <x v="43"/>
    <x v="4"/>
    <x v="119"/>
    <x v="119"/>
    <x v="0"/>
    <x v="1"/>
  </r>
  <r>
    <x v="488"/>
    <x v="201"/>
    <x v="0"/>
    <x v="2"/>
    <x v="5"/>
    <x v="3"/>
    <x v="15"/>
    <x v="22"/>
    <x v="42"/>
    <x v="54"/>
    <x v="12"/>
    <x v="17"/>
    <x v="12"/>
    <x v="25"/>
    <x v="25"/>
    <x v="0"/>
    <x v="1"/>
  </r>
  <r>
    <x v="489"/>
    <x v="178"/>
    <x v="1"/>
    <x v="4"/>
    <x v="5"/>
    <x v="1"/>
    <x v="10"/>
    <x v="12"/>
    <x v="20"/>
    <x v="12"/>
    <x v="18"/>
    <x v="10"/>
    <x v="41"/>
    <x v="29"/>
    <x v="29"/>
    <x v="0"/>
    <x v="1"/>
  </r>
  <r>
    <x v="490"/>
    <x v="158"/>
    <x v="0"/>
    <x v="3"/>
    <x v="2"/>
    <x v="1"/>
    <x v="11"/>
    <x v="24"/>
    <x v="14"/>
    <x v="61"/>
    <x v="17"/>
    <x v="54"/>
    <x v="35"/>
    <x v="52"/>
    <x v="52"/>
    <x v="0"/>
    <x v="1"/>
  </r>
  <r>
    <x v="491"/>
    <x v="96"/>
    <x v="1"/>
    <x v="2"/>
    <x v="3"/>
    <x v="3"/>
    <x v="6"/>
    <x v="54"/>
    <x v="19"/>
    <x v="19"/>
    <x v="37"/>
    <x v="19"/>
    <x v="50"/>
    <x v="25"/>
    <x v="25"/>
    <x v="0"/>
    <x v="1"/>
  </r>
  <r>
    <x v="492"/>
    <x v="51"/>
    <x v="0"/>
    <x v="1"/>
    <x v="4"/>
    <x v="6"/>
    <x v="12"/>
    <x v="29"/>
    <x v="2"/>
    <x v="46"/>
    <x v="28"/>
    <x v="43"/>
    <x v="61"/>
    <x v="130"/>
    <x v="130"/>
    <x v="1"/>
    <x v="2"/>
  </r>
  <r>
    <x v="493"/>
    <x v="199"/>
    <x v="1"/>
    <x v="2"/>
    <x v="3"/>
    <x v="4"/>
    <x v="5"/>
    <x v="12"/>
    <x v="2"/>
    <x v="36"/>
    <x v="46"/>
    <x v="13"/>
    <x v="11"/>
    <x v="92"/>
    <x v="92"/>
    <x v="0"/>
    <x v="1"/>
  </r>
  <r>
    <x v="494"/>
    <x v="61"/>
    <x v="1"/>
    <x v="2"/>
    <x v="2"/>
    <x v="0"/>
    <x v="4"/>
    <x v="43"/>
    <x v="17"/>
    <x v="6"/>
    <x v="16"/>
    <x v="4"/>
    <x v="41"/>
    <x v="25"/>
    <x v="25"/>
    <x v="0"/>
    <x v="1"/>
  </r>
  <r>
    <x v="495"/>
    <x v="38"/>
    <x v="0"/>
    <x v="4"/>
    <x v="3"/>
    <x v="5"/>
    <x v="23"/>
    <x v="25"/>
    <x v="10"/>
    <x v="21"/>
    <x v="20"/>
    <x v="5"/>
    <x v="23"/>
    <x v="18"/>
    <x v="18"/>
    <x v="0"/>
    <x v="1"/>
  </r>
  <r>
    <x v="496"/>
    <x v="145"/>
    <x v="0"/>
    <x v="0"/>
    <x v="3"/>
    <x v="7"/>
    <x v="20"/>
    <x v="9"/>
    <x v="61"/>
    <x v="5"/>
    <x v="9"/>
    <x v="1"/>
    <x v="53"/>
    <x v="56"/>
    <x v="56"/>
    <x v="0"/>
    <x v="1"/>
  </r>
  <r>
    <x v="497"/>
    <x v="21"/>
    <x v="1"/>
    <x v="1"/>
    <x v="4"/>
    <x v="1"/>
    <x v="6"/>
    <x v="10"/>
    <x v="10"/>
    <x v="3"/>
    <x v="28"/>
    <x v="14"/>
    <x v="54"/>
    <x v="72"/>
    <x v="72"/>
    <x v="0"/>
    <x v="1"/>
  </r>
  <r>
    <x v="498"/>
    <x v="202"/>
    <x v="1"/>
    <x v="1"/>
    <x v="2"/>
    <x v="0"/>
    <x v="36"/>
    <x v="34"/>
    <x v="13"/>
    <x v="46"/>
    <x v="37"/>
    <x v="27"/>
    <x v="41"/>
    <x v="46"/>
    <x v="46"/>
    <x v="0"/>
    <x v="1"/>
  </r>
  <r>
    <x v="499"/>
    <x v="44"/>
    <x v="1"/>
    <x v="0"/>
    <x v="1"/>
    <x v="4"/>
    <x v="0"/>
    <x v="2"/>
    <x v="9"/>
    <x v="11"/>
    <x v="10"/>
    <x v="22"/>
    <x v="39"/>
    <x v="4"/>
    <x v="4"/>
    <x v="0"/>
    <x v="1"/>
  </r>
  <r>
    <x v="500"/>
    <x v="75"/>
    <x v="1"/>
    <x v="0"/>
    <x v="1"/>
    <x v="3"/>
    <x v="19"/>
    <x v="49"/>
    <x v="17"/>
    <x v="14"/>
    <x v="50"/>
    <x v="25"/>
    <x v="50"/>
    <x v="190"/>
    <x v="190"/>
    <x v="0"/>
    <x v="1"/>
  </r>
  <r>
    <x v="501"/>
    <x v="6"/>
    <x v="1"/>
    <x v="1"/>
    <x v="5"/>
    <x v="7"/>
    <x v="25"/>
    <x v="15"/>
    <x v="57"/>
    <x v="15"/>
    <x v="61"/>
    <x v="4"/>
    <x v="2"/>
    <x v="121"/>
    <x v="121"/>
    <x v="0"/>
    <x v="1"/>
  </r>
  <r>
    <x v="502"/>
    <x v="58"/>
    <x v="0"/>
    <x v="4"/>
    <x v="1"/>
    <x v="6"/>
    <x v="3"/>
    <x v="40"/>
    <x v="10"/>
    <x v="19"/>
    <x v="8"/>
    <x v="22"/>
    <x v="12"/>
    <x v="76"/>
    <x v="76"/>
    <x v="0"/>
    <x v="1"/>
  </r>
  <r>
    <x v="503"/>
    <x v="48"/>
    <x v="1"/>
    <x v="3"/>
    <x v="4"/>
    <x v="3"/>
    <x v="20"/>
    <x v="9"/>
    <x v="35"/>
    <x v="27"/>
    <x v="37"/>
    <x v="27"/>
    <x v="12"/>
    <x v="3"/>
    <x v="3"/>
    <x v="0"/>
    <x v="0"/>
  </r>
  <r>
    <x v="504"/>
    <x v="43"/>
    <x v="0"/>
    <x v="3"/>
    <x v="1"/>
    <x v="1"/>
    <x v="7"/>
    <x v="54"/>
    <x v="54"/>
    <x v="18"/>
    <x v="25"/>
    <x v="1"/>
    <x v="8"/>
    <x v="61"/>
    <x v="61"/>
    <x v="0"/>
    <x v="0"/>
  </r>
  <r>
    <x v="505"/>
    <x v="130"/>
    <x v="0"/>
    <x v="1"/>
    <x v="3"/>
    <x v="5"/>
    <x v="8"/>
    <x v="11"/>
    <x v="13"/>
    <x v="20"/>
    <x v="22"/>
    <x v="7"/>
    <x v="48"/>
    <x v="139"/>
    <x v="139"/>
    <x v="0"/>
    <x v="0"/>
  </r>
  <r>
    <x v="506"/>
    <x v="78"/>
    <x v="1"/>
    <x v="0"/>
    <x v="3"/>
    <x v="5"/>
    <x v="12"/>
    <x v="33"/>
    <x v="27"/>
    <x v="16"/>
    <x v="56"/>
    <x v="8"/>
    <x v="3"/>
    <x v="173"/>
    <x v="173"/>
    <x v="0"/>
    <x v="0"/>
  </r>
  <r>
    <x v="507"/>
    <x v="195"/>
    <x v="1"/>
    <x v="2"/>
    <x v="1"/>
    <x v="0"/>
    <x v="37"/>
    <x v="13"/>
    <x v="61"/>
    <x v="40"/>
    <x v="53"/>
    <x v="12"/>
    <x v="49"/>
    <x v="191"/>
    <x v="191"/>
    <x v="1"/>
    <x v="2"/>
  </r>
  <r>
    <x v="508"/>
    <x v="18"/>
    <x v="1"/>
    <x v="4"/>
    <x v="5"/>
    <x v="5"/>
    <x v="4"/>
    <x v="18"/>
    <x v="46"/>
    <x v="17"/>
    <x v="11"/>
    <x v="4"/>
    <x v="0"/>
    <x v="85"/>
    <x v="85"/>
    <x v="0"/>
    <x v="1"/>
  </r>
  <r>
    <x v="509"/>
    <x v="23"/>
    <x v="1"/>
    <x v="4"/>
    <x v="5"/>
    <x v="3"/>
    <x v="18"/>
    <x v="11"/>
    <x v="10"/>
    <x v="35"/>
    <x v="6"/>
    <x v="4"/>
    <x v="41"/>
    <x v="71"/>
    <x v="71"/>
    <x v="0"/>
    <x v="1"/>
  </r>
  <r>
    <x v="510"/>
    <x v="33"/>
    <x v="1"/>
    <x v="2"/>
    <x v="1"/>
    <x v="5"/>
    <x v="5"/>
    <x v="4"/>
    <x v="22"/>
    <x v="44"/>
    <x v="14"/>
    <x v="4"/>
    <x v="21"/>
    <x v="116"/>
    <x v="116"/>
    <x v="0"/>
    <x v="1"/>
  </r>
  <r>
    <x v="511"/>
    <x v="135"/>
    <x v="0"/>
    <x v="1"/>
    <x v="4"/>
    <x v="5"/>
    <x v="28"/>
    <x v="9"/>
    <x v="4"/>
    <x v="11"/>
    <x v="12"/>
    <x v="2"/>
    <x v="19"/>
    <x v="4"/>
    <x v="4"/>
    <x v="0"/>
    <x v="1"/>
  </r>
  <r>
    <x v="512"/>
    <x v="49"/>
    <x v="0"/>
    <x v="1"/>
    <x v="2"/>
    <x v="1"/>
    <x v="37"/>
    <x v="23"/>
    <x v="37"/>
    <x v="15"/>
    <x v="38"/>
    <x v="13"/>
    <x v="47"/>
    <x v="151"/>
    <x v="151"/>
    <x v="0"/>
    <x v="1"/>
  </r>
  <r>
    <x v="513"/>
    <x v="169"/>
    <x v="0"/>
    <x v="0"/>
    <x v="5"/>
    <x v="3"/>
    <x v="20"/>
    <x v="6"/>
    <x v="22"/>
    <x v="14"/>
    <x v="12"/>
    <x v="9"/>
    <x v="50"/>
    <x v="23"/>
    <x v="23"/>
    <x v="0"/>
    <x v="1"/>
  </r>
  <r>
    <x v="514"/>
    <x v="79"/>
    <x v="0"/>
    <x v="2"/>
    <x v="1"/>
    <x v="1"/>
    <x v="30"/>
    <x v="30"/>
    <x v="23"/>
    <x v="18"/>
    <x v="42"/>
    <x v="25"/>
    <x v="10"/>
    <x v="32"/>
    <x v="32"/>
    <x v="0"/>
    <x v="0"/>
  </r>
  <r>
    <x v="515"/>
    <x v="141"/>
    <x v="1"/>
    <x v="3"/>
    <x v="0"/>
    <x v="2"/>
    <x v="0"/>
    <x v="15"/>
    <x v="46"/>
    <x v="3"/>
    <x v="35"/>
    <x v="6"/>
    <x v="34"/>
    <x v="8"/>
    <x v="8"/>
    <x v="0"/>
    <x v="0"/>
  </r>
  <r>
    <x v="516"/>
    <x v="203"/>
    <x v="0"/>
    <x v="2"/>
    <x v="4"/>
    <x v="5"/>
    <x v="15"/>
    <x v="0"/>
    <x v="26"/>
    <x v="52"/>
    <x v="29"/>
    <x v="3"/>
    <x v="56"/>
    <x v="192"/>
    <x v="192"/>
    <x v="0"/>
    <x v="3"/>
  </r>
  <r>
    <x v="517"/>
    <x v="28"/>
    <x v="1"/>
    <x v="4"/>
    <x v="5"/>
    <x v="2"/>
    <x v="3"/>
    <x v="0"/>
    <x v="43"/>
    <x v="6"/>
    <x v="22"/>
    <x v="15"/>
    <x v="28"/>
    <x v="172"/>
    <x v="172"/>
    <x v="0"/>
    <x v="0"/>
  </r>
  <r>
    <x v="518"/>
    <x v="11"/>
    <x v="1"/>
    <x v="1"/>
    <x v="1"/>
    <x v="0"/>
    <x v="4"/>
    <x v="26"/>
    <x v="44"/>
    <x v="18"/>
    <x v="1"/>
    <x v="19"/>
    <x v="1"/>
    <x v="24"/>
    <x v="24"/>
    <x v="0"/>
    <x v="0"/>
  </r>
  <r>
    <x v="519"/>
    <x v="136"/>
    <x v="1"/>
    <x v="0"/>
    <x v="5"/>
    <x v="2"/>
    <x v="12"/>
    <x v="22"/>
    <x v="19"/>
    <x v="43"/>
    <x v="17"/>
    <x v="42"/>
    <x v="7"/>
    <x v="57"/>
    <x v="57"/>
    <x v="0"/>
    <x v="1"/>
  </r>
  <r>
    <x v="520"/>
    <x v="204"/>
    <x v="0"/>
    <x v="0"/>
    <x v="3"/>
    <x v="7"/>
    <x v="30"/>
    <x v="1"/>
    <x v="42"/>
    <x v="12"/>
    <x v="40"/>
    <x v="13"/>
    <x v="33"/>
    <x v="78"/>
    <x v="78"/>
    <x v="0"/>
    <x v="1"/>
  </r>
  <r>
    <x v="521"/>
    <x v="117"/>
    <x v="0"/>
    <x v="2"/>
    <x v="1"/>
    <x v="3"/>
    <x v="33"/>
    <x v="32"/>
    <x v="2"/>
    <x v="11"/>
    <x v="7"/>
    <x v="14"/>
    <x v="39"/>
    <x v="18"/>
    <x v="18"/>
    <x v="0"/>
    <x v="1"/>
  </r>
  <r>
    <x v="522"/>
    <x v="68"/>
    <x v="0"/>
    <x v="1"/>
    <x v="2"/>
    <x v="5"/>
    <x v="8"/>
    <x v="0"/>
    <x v="50"/>
    <x v="33"/>
    <x v="32"/>
    <x v="25"/>
    <x v="13"/>
    <x v="180"/>
    <x v="180"/>
    <x v="0"/>
    <x v="0"/>
  </r>
  <r>
    <x v="523"/>
    <x v="15"/>
    <x v="1"/>
    <x v="1"/>
    <x v="1"/>
    <x v="6"/>
    <x v="8"/>
    <x v="15"/>
    <x v="56"/>
    <x v="61"/>
    <x v="13"/>
    <x v="12"/>
    <x v="65"/>
    <x v="193"/>
    <x v="193"/>
    <x v="1"/>
    <x v="2"/>
  </r>
  <r>
    <x v="524"/>
    <x v="60"/>
    <x v="0"/>
    <x v="4"/>
    <x v="5"/>
    <x v="1"/>
    <x v="39"/>
    <x v="9"/>
    <x v="43"/>
    <x v="25"/>
    <x v="38"/>
    <x v="23"/>
    <x v="35"/>
    <x v="77"/>
    <x v="77"/>
    <x v="0"/>
    <x v="1"/>
  </r>
  <r>
    <x v="525"/>
    <x v="87"/>
    <x v="0"/>
    <x v="3"/>
    <x v="5"/>
    <x v="7"/>
    <x v="30"/>
    <x v="2"/>
    <x v="9"/>
    <x v="47"/>
    <x v="17"/>
    <x v="18"/>
    <x v="53"/>
    <x v="94"/>
    <x v="94"/>
    <x v="0"/>
    <x v="1"/>
  </r>
  <r>
    <x v="526"/>
    <x v="205"/>
    <x v="1"/>
    <x v="4"/>
    <x v="4"/>
    <x v="5"/>
    <x v="5"/>
    <x v="12"/>
    <x v="12"/>
    <x v="19"/>
    <x v="64"/>
    <x v="24"/>
    <x v="4"/>
    <x v="180"/>
    <x v="180"/>
    <x v="0"/>
    <x v="0"/>
  </r>
  <r>
    <x v="527"/>
    <x v="135"/>
    <x v="1"/>
    <x v="0"/>
    <x v="5"/>
    <x v="3"/>
    <x v="11"/>
    <x v="49"/>
    <x v="2"/>
    <x v="4"/>
    <x v="11"/>
    <x v="13"/>
    <x v="29"/>
    <x v="17"/>
    <x v="17"/>
    <x v="0"/>
    <x v="1"/>
  </r>
  <r>
    <x v="528"/>
    <x v="206"/>
    <x v="1"/>
    <x v="0"/>
    <x v="4"/>
    <x v="6"/>
    <x v="11"/>
    <x v="22"/>
    <x v="42"/>
    <x v="2"/>
    <x v="14"/>
    <x v="42"/>
    <x v="41"/>
    <x v="18"/>
    <x v="18"/>
    <x v="0"/>
    <x v="1"/>
  </r>
  <r>
    <x v="529"/>
    <x v="137"/>
    <x v="1"/>
    <x v="3"/>
    <x v="5"/>
    <x v="7"/>
    <x v="28"/>
    <x v="17"/>
    <x v="14"/>
    <x v="10"/>
    <x v="16"/>
    <x v="21"/>
    <x v="12"/>
    <x v="94"/>
    <x v="94"/>
    <x v="0"/>
    <x v="1"/>
  </r>
  <r>
    <x v="530"/>
    <x v="58"/>
    <x v="1"/>
    <x v="4"/>
    <x v="3"/>
    <x v="7"/>
    <x v="11"/>
    <x v="47"/>
    <x v="13"/>
    <x v="30"/>
    <x v="12"/>
    <x v="40"/>
    <x v="12"/>
    <x v="190"/>
    <x v="190"/>
    <x v="0"/>
    <x v="1"/>
  </r>
  <r>
    <x v="531"/>
    <x v="15"/>
    <x v="0"/>
    <x v="0"/>
    <x v="4"/>
    <x v="7"/>
    <x v="10"/>
    <x v="20"/>
    <x v="30"/>
    <x v="34"/>
    <x v="47"/>
    <x v="21"/>
    <x v="10"/>
    <x v="97"/>
    <x v="97"/>
    <x v="0"/>
    <x v="1"/>
  </r>
  <r>
    <x v="532"/>
    <x v="199"/>
    <x v="1"/>
    <x v="3"/>
    <x v="1"/>
    <x v="6"/>
    <x v="12"/>
    <x v="7"/>
    <x v="5"/>
    <x v="6"/>
    <x v="57"/>
    <x v="25"/>
    <x v="36"/>
    <x v="118"/>
    <x v="118"/>
    <x v="0"/>
    <x v="0"/>
  </r>
  <r>
    <x v="533"/>
    <x v="207"/>
    <x v="0"/>
    <x v="4"/>
    <x v="5"/>
    <x v="7"/>
    <x v="9"/>
    <x v="22"/>
    <x v="3"/>
    <x v="47"/>
    <x v="5"/>
    <x v="22"/>
    <x v="24"/>
    <x v="138"/>
    <x v="138"/>
    <x v="0"/>
    <x v="1"/>
  </r>
  <r>
    <x v="534"/>
    <x v="149"/>
    <x v="1"/>
    <x v="3"/>
    <x v="0"/>
    <x v="1"/>
    <x v="19"/>
    <x v="15"/>
    <x v="50"/>
    <x v="2"/>
    <x v="28"/>
    <x v="49"/>
    <x v="41"/>
    <x v="155"/>
    <x v="155"/>
    <x v="0"/>
    <x v="1"/>
  </r>
  <r>
    <x v="535"/>
    <x v="90"/>
    <x v="0"/>
    <x v="3"/>
    <x v="2"/>
    <x v="4"/>
    <x v="30"/>
    <x v="52"/>
    <x v="8"/>
    <x v="20"/>
    <x v="6"/>
    <x v="27"/>
    <x v="36"/>
    <x v="122"/>
    <x v="122"/>
    <x v="0"/>
    <x v="0"/>
  </r>
  <r>
    <x v="536"/>
    <x v="70"/>
    <x v="0"/>
    <x v="0"/>
    <x v="5"/>
    <x v="4"/>
    <x v="1"/>
    <x v="54"/>
    <x v="8"/>
    <x v="19"/>
    <x v="46"/>
    <x v="2"/>
    <x v="37"/>
    <x v="61"/>
    <x v="61"/>
    <x v="0"/>
    <x v="0"/>
  </r>
  <r>
    <x v="537"/>
    <x v="203"/>
    <x v="1"/>
    <x v="4"/>
    <x v="4"/>
    <x v="2"/>
    <x v="14"/>
    <x v="43"/>
    <x v="9"/>
    <x v="34"/>
    <x v="13"/>
    <x v="18"/>
    <x v="19"/>
    <x v="37"/>
    <x v="37"/>
    <x v="0"/>
    <x v="1"/>
  </r>
  <r>
    <x v="538"/>
    <x v="86"/>
    <x v="1"/>
    <x v="4"/>
    <x v="2"/>
    <x v="0"/>
    <x v="22"/>
    <x v="44"/>
    <x v="25"/>
    <x v="51"/>
    <x v="27"/>
    <x v="62"/>
    <x v="55"/>
    <x v="194"/>
    <x v="194"/>
    <x v="1"/>
    <x v="2"/>
  </r>
  <r>
    <x v="539"/>
    <x v="94"/>
    <x v="1"/>
    <x v="0"/>
    <x v="2"/>
    <x v="5"/>
    <x v="30"/>
    <x v="39"/>
    <x v="58"/>
    <x v="15"/>
    <x v="59"/>
    <x v="24"/>
    <x v="54"/>
    <x v="78"/>
    <x v="78"/>
    <x v="0"/>
    <x v="1"/>
  </r>
  <r>
    <x v="540"/>
    <x v="79"/>
    <x v="1"/>
    <x v="0"/>
    <x v="3"/>
    <x v="6"/>
    <x v="5"/>
    <x v="8"/>
    <x v="56"/>
    <x v="36"/>
    <x v="49"/>
    <x v="11"/>
    <x v="47"/>
    <x v="127"/>
    <x v="127"/>
    <x v="1"/>
    <x v="2"/>
  </r>
  <r>
    <x v="541"/>
    <x v="110"/>
    <x v="0"/>
    <x v="1"/>
    <x v="2"/>
    <x v="2"/>
    <x v="1"/>
    <x v="32"/>
    <x v="22"/>
    <x v="53"/>
    <x v="35"/>
    <x v="15"/>
    <x v="13"/>
    <x v="71"/>
    <x v="71"/>
    <x v="0"/>
    <x v="1"/>
  </r>
  <r>
    <x v="542"/>
    <x v="200"/>
    <x v="1"/>
    <x v="4"/>
    <x v="2"/>
    <x v="3"/>
    <x v="11"/>
    <x v="2"/>
    <x v="17"/>
    <x v="47"/>
    <x v="6"/>
    <x v="6"/>
    <x v="13"/>
    <x v="110"/>
    <x v="110"/>
    <x v="0"/>
    <x v="0"/>
  </r>
  <r>
    <x v="543"/>
    <x v="208"/>
    <x v="0"/>
    <x v="4"/>
    <x v="4"/>
    <x v="6"/>
    <x v="33"/>
    <x v="52"/>
    <x v="27"/>
    <x v="14"/>
    <x v="56"/>
    <x v="33"/>
    <x v="48"/>
    <x v="55"/>
    <x v="55"/>
    <x v="0"/>
    <x v="0"/>
  </r>
  <r>
    <x v="544"/>
    <x v="74"/>
    <x v="0"/>
    <x v="4"/>
    <x v="1"/>
    <x v="6"/>
    <x v="17"/>
    <x v="27"/>
    <x v="7"/>
    <x v="3"/>
    <x v="6"/>
    <x v="17"/>
    <x v="34"/>
    <x v="168"/>
    <x v="168"/>
    <x v="0"/>
    <x v="0"/>
  </r>
  <r>
    <x v="545"/>
    <x v="175"/>
    <x v="0"/>
    <x v="3"/>
    <x v="0"/>
    <x v="5"/>
    <x v="13"/>
    <x v="31"/>
    <x v="55"/>
    <x v="4"/>
    <x v="51"/>
    <x v="44"/>
    <x v="63"/>
    <x v="125"/>
    <x v="125"/>
    <x v="1"/>
    <x v="2"/>
  </r>
  <r>
    <x v="546"/>
    <x v="48"/>
    <x v="1"/>
    <x v="0"/>
    <x v="5"/>
    <x v="4"/>
    <x v="6"/>
    <x v="23"/>
    <x v="10"/>
    <x v="10"/>
    <x v="12"/>
    <x v="1"/>
    <x v="11"/>
    <x v="85"/>
    <x v="85"/>
    <x v="0"/>
    <x v="1"/>
  </r>
  <r>
    <x v="547"/>
    <x v="58"/>
    <x v="0"/>
    <x v="3"/>
    <x v="3"/>
    <x v="3"/>
    <x v="17"/>
    <x v="0"/>
    <x v="12"/>
    <x v="8"/>
    <x v="10"/>
    <x v="6"/>
    <x v="60"/>
    <x v="100"/>
    <x v="100"/>
    <x v="0"/>
    <x v="0"/>
  </r>
  <r>
    <x v="548"/>
    <x v="206"/>
    <x v="0"/>
    <x v="3"/>
    <x v="3"/>
    <x v="1"/>
    <x v="28"/>
    <x v="52"/>
    <x v="19"/>
    <x v="20"/>
    <x v="15"/>
    <x v="25"/>
    <x v="3"/>
    <x v="7"/>
    <x v="7"/>
    <x v="0"/>
    <x v="0"/>
  </r>
  <r>
    <x v="549"/>
    <x v="114"/>
    <x v="1"/>
    <x v="3"/>
    <x v="2"/>
    <x v="2"/>
    <x v="1"/>
    <x v="20"/>
    <x v="8"/>
    <x v="6"/>
    <x v="55"/>
    <x v="7"/>
    <x v="3"/>
    <x v="182"/>
    <x v="182"/>
    <x v="0"/>
    <x v="0"/>
  </r>
  <r>
    <x v="550"/>
    <x v="53"/>
    <x v="0"/>
    <x v="4"/>
    <x v="2"/>
    <x v="2"/>
    <x v="21"/>
    <x v="42"/>
    <x v="44"/>
    <x v="24"/>
    <x v="30"/>
    <x v="33"/>
    <x v="50"/>
    <x v="111"/>
    <x v="111"/>
    <x v="0"/>
    <x v="1"/>
  </r>
  <r>
    <x v="551"/>
    <x v="94"/>
    <x v="1"/>
    <x v="0"/>
    <x v="0"/>
    <x v="4"/>
    <x v="10"/>
    <x v="28"/>
    <x v="1"/>
    <x v="14"/>
    <x v="16"/>
    <x v="10"/>
    <x v="9"/>
    <x v="195"/>
    <x v="195"/>
    <x v="0"/>
    <x v="0"/>
  </r>
  <r>
    <x v="552"/>
    <x v="99"/>
    <x v="1"/>
    <x v="1"/>
    <x v="5"/>
    <x v="2"/>
    <x v="5"/>
    <x v="8"/>
    <x v="45"/>
    <x v="12"/>
    <x v="8"/>
    <x v="54"/>
    <x v="47"/>
    <x v="196"/>
    <x v="196"/>
    <x v="0"/>
    <x v="1"/>
  </r>
  <r>
    <x v="553"/>
    <x v="185"/>
    <x v="1"/>
    <x v="1"/>
    <x v="0"/>
    <x v="3"/>
    <x v="3"/>
    <x v="17"/>
    <x v="0"/>
    <x v="2"/>
    <x v="50"/>
    <x v="5"/>
    <x v="42"/>
    <x v="170"/>
    <x v="170"/>
    <x v="0"/>
    <x v="0"/>
  </r>
  <r>
    <x v="554"/>
    <x v="9"/>
    <x v="1"/>
    <x v="4"/>
    <x v="0"/>
    <x v="7"/>
    <x v="25"/>
    <x v="1"/>
    <x v="44"/>
    <x v="32"/>
    <x v="1"/>
    <x v="17"/>
    <x v="2"/>
    <x v="124"/>
    <x v="124"/>
    <x v="0"/>
    <x v="1"/>
  </r>
  <r>
    <x v="555"/>
    <x v="185"/>
    <x v="0"/>
    <x v="0"/>
    <x v="0"/>
    <x v="4"/>
    <x v="14"/>
    <x v="36"/>
    <x v="10"/>
    <x v="55"/>
    <x v="43"/>
    <x v="1"/>
    <x v="32"/>
    <x v="92"/>
    <x v="92"/>
    <x v="0"/>
    <x v="1"/>
  </r>
  <r>
    <x v="556"/>
    <x v="73"/>
    <x v="0"/>
    <x v="3"/>
    <x v="2"/>
    <x v="4"/>
    <x v="12"/>
    <x v="33"/>
    <x v="18"/>
    <x v="20"/>
    <x v="50"/>
    <x v="42"/>
    <x v="5"/>
    <x v="186"/>
    <x v="186"/>
    <x v="0"/>
    <x v="0"/>
  </r>
  <r>
    <x v="557"/>
    <x v="209"/>
    <x v="1"/>
    <x v="0"/>
    <x v="3"/>
    <x v="3"/>
    <x v="25"/>
    <x v="18"/>
    <x v="45"/>
    <x v="14"/>
    <x v="49"/>
    <x v="30"/>
    <x v="23"/>
    <x v="164"/>
    <x v="164"/>
    <x v="0"/>
    <x v="1"/>
  </r>
  <r>
    <x v="558"/>
    <x v="140"/>
    <x v="0"/>
    <x v="2"/>
    <x v="0"/>
    <x v="7"/>
    <x v="4"/>
    <x v="22"/>
    <x v="60"/>
    <x v="4"/>
    <x v="37"/>
    <x v="5"/>
    <x v="19"/>
    <x v="51"/>
    <x v="51"/>
    <x v="0"/>
    <x v="1"/>
  </r>
  <r>
    <x v="559"/>
    <x v="23"/>
    <x v="1"/>
    <x v="1"/>
    <x v="5"/>
    <x v="4"/>
    <x v="22"/>
    <x v="41"/>
    <x v="0"/>
    <x v="55"/>
    <x v="33"/>
    <x v="19"/>
    <x v="6"/>
    <x v="61"/>
    <x v="61"/>
    <x v="0"/>
    <x v="0"/>
  </r>
  <r>
    <x v="560"/>
    <x v="108"/>
    <x v="1"/>
    <x v="2"/>
    <x v="4"/>
    <x v="2"/>
    <x v="8"/>
    <x v="18"/>
    <x v="14"/>
    <x v="17"/>
    <x v="20"/>
    <x v="56"/>
    <x v="11"/>
    <x v="99"/>
    <x v="99"/>
    <x v="0"/>
    <x v="1"/>
  </r>
  <r>
    <x v="561"/>
    <x v="104"/>
    <x v="0"/>
    <x v="2"/>
    <x v="1"/>
    <x v="5"/>
    <x v="34"/>
    <x v="11"/>
    <x v="37"/>
    <x v="32"/>
    <x v="43"/>
    <x v="14"/>
    <x v="43"/>
    <x v="153"/>
    <x v="153"/>
    <x v="0"/>
    <x v="1"/>
  </r>
  <r>
    <x v="562"/>
    <x v="15"/>
    <x v="0"/>
    <x v="1"/>
    <x v="1"/>
    <x v="7"/>
    <x v="34"/>
    <x v="58"/>
    <x v="12"/>
    <x v="8"/>
    <x v="1"/>
    <x v="24"/>
    <x v="40"/>
    <x v="68"/>
    <x v="68"/>
    <x v="0"/>
    <x v="1"/>
  </r>
  <r>
    <x v="563"/>
    <x v="203"/>
    <x v="0"/>
    <x v="2"/>
    <x v="4"/>
    <x v="0"/>
    <x v="0"/>
    <x v="12"/>
    <x v="32"/>
    <x v="3"/>
    <x v="59"/>
    <x v="9"/>
    <x v="50"/>
    <x v="187"/>
    <x v="187"/>
    <x v="0"/>
    <x v="1"/>
  </r>
  <r>
    <x v="564"/>
    <x v="119"/>
    <x v="1"/>
    <x v="1"/>
    <x v="0"/>
    <x v="0"/>
    <x v="36"/>
    <x v="0"/>
    <x v="47"/>
    <x v="11"/>
    <x v="32"/>
    <x v="35"/>
    <x v="13"/>
    <x v="113"/>
    <x v="113"/>
    <x v="0"/>
    <x v="0"/>
  </r>
  <r>
    <x v="565"/>
    <x v="75"/>
    <x v="0"/>
    <x v="3"/>
    <x v="5"/>
    <x v="4"/>
    <x v="8"/>
    <x v="0"/>
    <x v="9"/>
    <x v="29"/>
    <x v="46"/>
    <x v="15"/>
    <x v="11"/>
    <x v="82"/>
    <x v="82"/>
    <x v="0"/>
    <x v="0"/>
  </r>
  <r>
    <x v="566"/>
    <x v="130"/>
    <x v="0"/>
    <x v="3"/>
    <x v="1"/>
    <x v="5"/>
    <x v="14"/>
    <x v="26"/>
    <x v="7"/>
    <x v="24"/>
    <x v="1"/>
    <x v="23"/>
    <x v="24"/>
    <x v="195"/>
    <x v="195"/>
    <x v="0"/>
    <x v="0"/>
  </r>
  <r>
    <x v="567"/>
    <x v="20"/>
    <x v="1"/>
    <x v="4"/>
    <x v="0"/>
    <x v="2"/>
    <x v="3"/>
    <x v="31"/>
    <x v="44"/>
    <x v="59"/>
    <x v="10"/>
    <x v="35"/>
    <x v="8"/>
    <x v="186"/>
    <x v="186"/>
    <x v="0"/>
    <x v="0"/>
  </r>
  <r>
    <x v="568"/>
    <x v="96"/>
    <x v="0"/>
    <x v="3"/>
    <x v="5"/>
    <x v="7"/>
    <x v="17"/>
    <x v="32"/>
    <x v="13"/>
    <x v="12"/>
    <x v="37"/>
    <x v="21"/>
    <x v="36"/>
    <x v="42"/>
    <x v="42"/>
    <x v="0"/>
    <x v="1"/>
  </r>
  <r>
    <x v="569"/>
    <x v="0"/>
    <x v="0"/>
    <x v="4"/>
    <x v="3"/>
    <x v="5"/>
    <x v="19"/>
    <x v="15"/>
    <x v="20"/>
    <x v="25"/>
    <x v="38"/>
    <x v="24"/>
    <x v="50"/>
    <x v="33"/>
    <x v="33"/>
    <x v="0"/>
    <x v="1"/>
  </r>
  <r>
    <x v="570"/>
    <x v="197"/>
    <x v="0"/>
    <x v="0"/>
    <x v="5"/>
    <x v="0"/>
    <x v="3"/>
    <x v="41"/>
    <x v="47"/>
    <x v="5"/>
    <x v="52"/>
    <x v="28"/>
    <x v="24"/>
    <x v="93"/>
    <x v="93"/>
    <x v="0"/>
    <x v="0"/>
  </r>
  <r>
    <x v="571"/>
    <x v="34"/>
    <x v="0"/>
    <x v="4"/>
    <x v="2"/>
    <x v="1"/>
    <x v="25"/>
    <x v="51"/>
    <x v="15"/>
    <x v="51"/>
    <x v="40"/>
    <x v="40"/>
    <x v="43"/>
    <x v="153"/>
    <x v="153"/>
    <x v="0"/>
    <x v="1"/>
  </r>
  <r>
    <x v="572"/>
    <x v="199"/>
    <x v="0"/>
    <x v="4"/>
    <x v="3"/>
    <x v="5"/>
    <x v="18"/>
    <x v="20"/>
    <x v="7"/>
    <x v="7"/>
    <x v="21"/>
    <x v="15"/>
    <x v="22"/>
    <x v="174"/>
    <x v="174"/>
    <x v="0"/>
    <x v="0"/>
  </r>
  <r>
    <x v="573"/>
    <x v="77"/>
    <x v="0"/>
    <x v="3"/>
    <x v="0"/>
    <x v="1"/>
    <x v="3"/>
    <x v="44"/>
    <x v="7"/>
    <x v="40"/>
    <x v="30"/>
    <x v="23"/>
    <x v="24"/>
    <x v="143"/>
    <x v="143"/>
    <x v="0"/>
    <x v="0"/>
  </r>
  <r>
    <x v="574"/>
    <x v="147"/>
    <x v="1"/>
    <x v="1"/>
    <x v="1"/>
    <x v="4"/>
    <x v="30"/>
    <x v="64"/>
    <x v="14"/>
    <x v="13"/>
    <x v="28"/>
    <x v="63"/>
    <x v="53"/>
    <x v="197"/>
    <x v="197"/>
    <x v="1"/>
    <x v="2"/>
  </r>
  <r>
    <x v="575"/>
    <x v="115"/>
    <x v="0"/>
    <x v="4"/>
    <x v="3"/>
    <x v="7"/>
    <x v="22"/>
    <x v="34"/>
    <x v="1"/>
    <x v="7"/>
    <x v="46"/>
    <x v="42"/>
    <x v="21"/>
    <x v="10"/>
    <x v="10"/>
    <x v="0"/>
    <x v="0"/>
  </r>
  <r>
    <x v="576"/>
    <x v="127"/>
    <x v="1"/>
    <x v="2"/>
    <x v="5"/>
    <x v="2"/>
    <x v="19"/>
    <x v="16"/>
    <x v="45"/>
    <x v="48"/>
    <x v="4"/>
    <x v="18"/>
    <x v="0"/>
    <x v="74"/>
    <x v="74"/>
    <x v="0"/>
    <x v="1"/>
  </r>
  <r>
    <x v="577"/>
    <x v="38"/>
    <x v="1"/>
    <x v="4"/>
    <x v="4"/>
    <x v="3"/>
    <x v="4"/>
    <x v="2"/>
    <x v="65"/>
    <x v="46"/>
    <x v="59"/>
    <x v="30"/>
    <x v="57"/>
    <x v="198"/>
    <x v="198"/>
    <x v="1"/>
    <x v="2"/>
  </r>
  <r>
    <x v="578"/>
    <x v="210"/>
    <x v="0"/>
    <x v="3"/>
    <x v="2"/>
    <x v="7"/>
    <x v="25"/>
    <x v="12"/>
    <x v="58"/>
    <x v="15"/>
    <x v="53"/>
    <x v="56"/>
    <x v="25"/>
    <x v="199"/>
    <x v="199"/>
    <x v="1"/>
    <x v="2"/>
  </r>
  <r>
    <x v="579"/>
    <x v="211"/>
    <x v="0"/>
    <x v="2"/>
    <x v="0"/>
    <x v="4"/>
    <x v="23"/>
    <x v="0"/>
    <x v="6"/>
    <x v="21"/>
    <x v="22"/>
    <x v="16"/>
    <x v="34"/>
    <x v="175"/>
    <x v="175"/>
    <x v="0"/>
    <x v="0"/>
  </r>
  <r>
    <x v="580"/>
    <x v="212"/>
    <x v="1"/>
    <x v="1"/>
    <x v="4"/>
    <x v="6"/>
    <x v="15"/>
    <x v="10"/>
    <x v="2"/>
    <x v="11"/>
    <x v="38"/>
    <x v="27"/>
    <x v="45"/>
    <x v="183"/>
    <x v="183"/>
    <x v="0"/>
    <x v="1"/>
  </r>
  <r>
    <x v="581"/>
    <x v="69"/>
    <x v="1"/>
    <x v="2"/>
    <x v="3"/>
    <x v="7"/>
    <x v="8"/>
    <x v="8"/>
    <x v="4"/>
    <x v="43"/>
    <x v="63"/>
    <x v="21"/>
    <x v="53"/>
    <x v="200"/>
    <x v="200"/>
    <x v="1"/>
    <x v="2"/>
  </r>
  <r>
    <x v="582"/>
    <x v="79"/>
    <x v="0"/>
    <x v="0"/>
    <x v="3"/>
    <x v="5"/>
    <x v="9"/>
    <x v="50"/>
    <x v="15"/>
    <x v="41"/>
    <x v="16"/>
    <x v="14"/>
    <x v="19"/>
    <x v="57"/>
    <x v="57"/>
    <x v="0"/>
    <x v="1"/>
  </r>
  <r>
    <x v="583"/>
    <x v="156"/>
    <x v="0"/>
    <x v="4"/>
    <x v="3"/>
    <x v="5"/>
    <x v="4"/>
    <x v="31"/>
    <x v="5"/>
    <x v="11"/>
    <x v="35"/>
    <x v="2"/>
    <x v="53"/>
    <x v="71"/>
    <x v="71"/>
    <x v="0"/>
    <x v="1"/>
  </r>
  <r>
    <x v="584"/>
    <x v="207"/>
    <x v="0"/>
    <x v="3"/>
    <x v="2"/>
    <x v="3"/>
    <x v="12"/>
    <x v="31"/>
    <x v="3"/>
    <x v="18"/>
    <x v="38"/>
    <x v="8"/>
    <x v="7"/>
    <x v="138"/>
    <x v="138"/>
    <x v="0"/>
    <x v="1"/>
  </r>
  <r>
    <x v="585"/>
    <x v="41"/>
    <x v="0"/>
    <x v="0"/>
    <x v="2"/>
    <x v="4"/>
    <x v="21"/>
    <x v="50"/>
    <x v="43"/>
    <x v="3"/>
    <x v="33"/>
    <x v="25"/>
    <x v="6"/>
    <x v="36"/>
    <x v="36"/>
    <x v="0"/>
    <x v="0"/>
  </r>
  <r>
    <x v="586"/>
    <x v="122"/>
    <x v="0"/>
    <x v="2"/>
    <x v="0"/>
    <x v="6"/>
    <x v="0"/>
    <x v="9"/>
    <x v="12"/>
    <x v="27"/>
    <x v="30"/>
    <x v="29"/>
    <x v="24"/>
    <x v="83"/>
    <x v="83"/>
    <x v="0"/>
    <x v="0"/>
  </r>
  <r>
    <x v="587"/>
    <x v="102"/>
    <x v="0"/>
    <x v="0"/>
    <x v="3"/>
    <x v="3"/>
    <x v="30"/>
    <x v="0"/>
    <x v="1"/>
    <x v="11"/>
    <x v="14"/>
    <x v="35"/>
    <x v="11"/>
    <x v="5"/>
    <x v="5"/>
    <x v="0"/>
    <x v="0"/>
  </r>
  <r>
    <x v="588"/>
    <x v="103"/>
    <x v="1"/>
    <x v="4"/>
    <x v="4"/>
    <x v="4"/>
    <x v="3"/>
    <x v="29"/>
    <x v="39"/>
    <x v="44"/>
    <x v="40"/>
    <x v="20"/>
    <x v="14"/>
    <x v="198"/>
    <x v="198"/>
    <x v="1"/>
    <x v="2"/>
  </r>
  <r>
    <x v="589"/>
    <x v="188"/>
    <x v="1"/>
    <x v="0"/>
    <x v="4"/>
    <x v="2"/>
    <x v="6"/>
    <x v="15"/>
    <x v="56"/>
    <x v="17"/>
    <x v="23"/>
    <x v="54"/>
    <x v="15"/>
    <x v="201"/>
    <x v="201"/>
    <x v="1"/>
    <x v="2"/>
  </r>
  <r>
    <x v="590"/>
    <x v="213"/>
    <x v="0"/>
    <x v="2"/>
    <x v="5"/>
    <x v="7"/>
    <x v="6"/>
    <x v="6"/>
    <x v="44"/>
    <x v="5"/>
    <x v="12"/>
    <x v="40"/>
    <x v="50"/>
    <x v="105"/>
    <x v="105"/>
    <x v="0"/>
    <x v="1"/>
  </r>
  <r>
    <x v="591"/>
    <x v="116"/>
    <x v="1"/>
    <x v="1"/>
    <x v="4"/>
    <x v="5"/>
    <x v="14"/>
    <x v="3"/>
    <x v="51"/>
    <x v="36"/>
    <x v="23"/>
    <x v="14"/>
    <x v="17"/>
    <x v="81"/>
    <x v="81"/>
    <x v="0"/>
    <x v="1"/>
  </r>
  <r>
    <x v="592"/>
    <x v="25"/>
    <x v="1"/>
    <x v="1"/>
    <x v="3"/>
    <x v="7"/>
    <x v="6"/>
    <x v="0"/>
    <x v="0"/>
    <x v="27"/>
    <x v="15"/>
    <x v="31"/>
    <x v="4"/>
    <x v="174"/>
    <x v="174"/>
    <x v="0"/>
    <x v="0"/>
  </r>
  <r>
    <x v="593"/>
    <x v="117"/>
    <x v="1"/>
    <x v="2"/>
    <x v="1"/>
    <x v="6"/>
    <x v="6"/>
    <x v="47"/>
    <x v="23"/>
    <x v="48"/>
    <x v="29"/>
    <x v="8"/>
    <x v="3"/>
    <x v="108"/>
    <x v="108"/>
    <x v="0"/>
    <x v="0"/>
  </r>
  <r>
    <x v="594"/>
    <x v="205"/>
    <x v="1"/>
    <x v="1"/>
    <x v="3"/>
    <x v="2"/>
    <x v="1"/>
    <x v="65"/>
    <x v="66"/>
    <x v="57"/>
    <x v="63"/>
    <x v="54"/>
    <x v="61"/>
    <x v="202"/>
    <x v="202"/>
    <x v="1"/>
    <x v="2"/>
  </r>
  <r>
    <x v="595"/>
    <x v="62"/>
    <x v="1"/>
    <x v="2"/>
    <x v="4"/>
    <x v="4"/>
    <x v="12"/>
    <x v="6"/>
    <x v="13"/>
    <x v="18"/>
    <x v="44"/>
    <x v="39"/>
    <x v="8"/>
    <x v="182"/>
    <x v="182"/>
    <x v="0"/>
    <x v="0"/>
  </r>
  <r>
    <x v="596"/>
    <x v="3"/>
    <x v="0"/>
    <x v="3"/>
    <x v="2"/>
    <x v="5"/>
    <x v="21"/>
    <x v="8"/>
    <x v="37"/>
    <x v="46"/>
    <x v="54"/>
    <x v="56"/>
    <x v="47"/>
    <x v="203"/>
    <x v="203"/>
    <x v="1"/>
    <x v="2"/>
  </r>
  <r>
    <x v="597"/>
    <x v="61"/>
    <x v="1"/>
    <x v="0"/>
    <x v="4"/>
    <x v="2"/>
    <x v="19"/>
    <x v="43"/>
    <x v="42"/>
    <x v="9"/>
    <x v="23"/>
    <x v="22"/>
    <x v="40"/>
    <x v="188"/>
    <x v="188"/>
    <x v="0"/>
    <x v="1"/>
  </r>
  <r>
    <x v="598"/>
    <x v="151"/>
    <x v="0"/>
    <x v="0"/>
    <x v="1"/>
    <x v="1"/>
    <x v="17"/>
    <x v="55"/>
    <x v="10"/>
    <x v="25"/>
    <x v="62"/>
    <x v="31"/>
    <x v="36"/>
    <x v="204"/>
    <x v="204"/>
    <x v="0"/>
    <x v="1"/>
  </r>
  <r>
    <x v="599"/>
    <x v="160"/>
    <x v="1"/>
    <x v="3"/>
    <x v="0"/>
    <x v="4"/>
    <x v="3"/>
    <x v="6"/>
    <x v="20"/>
    <x v="5"/>
    <x v="3"/>
    <x v="19"/>
    <x v="12"/>
    <x v="107"/>
    <x v="107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17">
    <pivotField compact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showAll="0">
      <items count="215">
        <item x="189"/>
        <item x="137"/>
        <item x="125"/>
        <item x="53"/>
        <item x="211"/>
        <item x="6"/>
        <item x="108"/>
        <item x="88"/>
        <item x="59"/>
        <item x="182"/>
        <item x="134"/>
        <item x="5"/>
        <item x="24"/>
        <item x="55"/>
        <item x="104"/>
        <item x="38"/>
        <item x="23"/>
        <item x="165"/>
        <item x="162"/>
        <item x="135"/>
        <item x="166"/>
        <item x="136"/>
        <item x="184"/>
        <item x="101"/>
        <item x="65"/>
        <item x="50"/>
        <item x="57"/>
        <item x="132"/>
        <item x="99"/>
        <item x="63"/>
        <item x="97"/>
        <item x="72"/>
        <item x="151"/>
        <item x="139"/>
        <item x="198"/>
        <item x="79"/>
        <item x="128"/>
        <item x="124"/>
        <item x="74"/>
        <item x="188"/>
        <item x="201"/>
        <item x="41"/>
        <item x="200"/>
        <item x="161"/>
        <item x="80"/>
        <item x="152"/>
        <item x="126"/>
        <item x="86"/>
        <item x="51"/>
        <item x="91"/>
        <item x="12"/>
        <item x="159"/>
        <item x="190"/>
        <item x="8"/>
        <item x="154"/>
        <item x="195"/>
        <item x="144"/>
        <item x="95"/>
        <item x="122"/>
        <item x="197"/>
        <item x="196"/>
        <item x="177"/>
        <item x="174"/>
        <item x="141"/>
        <item x="171"/>
        <item x="87"/>
        <item x="18"/>
        <item x="208"/>
        <item x="66"/>
        <item x="185"/>
        <item x="160"/>
        <item x="209"/>
        <item x="37"/>
        <item x="143"/>
        <item x="111"/>
        <item x="140"/>
        <item x="127"/>
        <item x="178"/>
        <item x="42"/>
        <item x="207"/>
        <item x="105"/>
        <item x="119"/>
        <item x="100"/>
        <item x="138"/>
        <item x="170"/>
        <item x="85"/>
        <item x="21"/>
        <item x="56"/>
        <item x="69"/>
        <item x="117"/>
        <item x="103"/>
        <item x="17"/>
        <item x="13"/>
        <item x="81"/>
        <item x="92"/>
        <item x="213"/>
        <item x="9"/>
        <item x="62"/>
        <item x="78"/>
        <item x="202"/>
        <item x="49"/>
        <item x="116"/>
        <item x="163"/>
        <item x="130"/>
        <item x="14"/>
        <item x="155"/>
        <item x="40"/>
        <item x="121"/>
        <item x="204"/>
        <item x="203"/>
        <item x="157"/>
        <item x="34"/>
        <item x="26"/>
        <item x="168"/>
        <item x="118"/>
        <item x="39"/>
        <item x="89"/>
        <item x="109"/>
        <item x="172"/>
        <item x="112"/>
        <item x="10"/>
        <item x="58"/>
        <item x="149"/>
        <item x="115"/>
        <item x="33"/>
        <item x="150"/>
        <item x="133"/>
        <item x="0"/>
        <item x="61"/>
        <item x="176"/>
        <item x="54"/>
        <item x="114"/>
        <item x="46"/>
        <item x="7"/>
        <item x="84"/>
        <item x="98"/>
        <item x="180"/>
        <item x="148"/>
        <item x="3"/>
        <item x="106"/>
        <item x="45"/>
        <item x="153"/>
        <item x="77"/>
        <item x="4"/>
        <item x="43"/>
        <item x="93"/>
        <item x="90"/>
        <item x="27"/>
        <item x="110"/>
        <item x="15"/>
        <item x="22"/>
        <item x="167"/>
        <item x="25"/>
        <item x="60"/>
        <item x="205"/>
        <item x="179"/>
        <item x="175"/>
        <item x="131"/>
        <item x="181"/>
        <item x="48"/>
        <item x="29"/>
        <item x="83"/>
        <item x="11"/>
        <item x="52"/>
        <item x="70"/>
        <item x="194"/>
        <item x="64"/>
        <item x="147"/>
        <item x="123"/>
        <item x="73"/>
        <item x="113"/>
        <item x="192"/>
        <item x="199"/>
        <item x="120"/>
        <item x="142"/>
        <item x="169"/>
        <item x="16"/>
        <item x="145"/>
        <item x="156"/>
        <item x="71"/>
        <item x="146"/>
        <item x="19"/>
        <item x="107"/>
        <item x="186"/>
        <item x="191"/>
        <item x="158"/>
        <item x="76"/>
        <item x="173"/>
        <item x="68"/>
        <item x="75"/>
        <item x="31"/>
        <item x="28"/>
        <item x="20"/>
        <item x="129"/>
        <item x="36"/>
        <item x="82"/>
        <item x="212"/>
        <item x="1"/>
        <item x="30"/>
        <item x="2"/>
        <item x="47"/>
        <item x="193"/>
        <item x="96"/>
        <item x="210"/>
        <item x="206"/>
        <item x="44"/>
        <item x="164"/>
        <item x="102"/>
        <item x="94"/>
        <item x="32"/>
        <item x="67"/>
        <item x="183"/>
        <item x="187"/>
        <item x="35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7">
        <item x="1"/>
        <item x="0"/>
        <item x="4"/>
        <item x="3"/>
        <item x="5"/>
        <item x="2"/>
        <item t="default"/>
      </items>
    </pivotField>
    <pivotField compact="0" showAll="0">
      <items count="9">
        <item x="3"/>
        <item x="1"/>
        <item x="2"/>
        <item x="5"/>
        <item x="7"/>
        <item x="4"/>
        <item x="0"/>
        <item x="6"/>
        <item t="default"/>
      </items>
    </pivotField>
    <pivotField compact="0" showAll="0">
      <items count="45">
        <item x="43"/>
        <item x="40"/>
        <item x="41"/>
        <item x="27"/>
        <item x="42"/>
        <item x="35"/>
        <item x="34"/>
        <item x="38"/>
        <item x="33"/>
        <item x="26"/>
        <item x="23"/>
        <item x="7"/>
        <item x="29"/>
        <item x="14"/>
        <item x="18"/>
        <item x="9"/>
        <item x="28"/>
        <item x="5"/>
        <item x="20"/>
        <item x="10"/>
        <item x="25"/>
        <item x="2"/>
        <item x="19"/>
        <item x="3"/>
        <item x="6"/>
        <item x="31"/>
        <item x="11"/>
        <item x="4"/>
        <item x="12"/>
        <item x="1"/>
        <item x="30"/>
        <item x="17"/>
        <item x="8"/>
        <item x="0"/>
        <item x="21"/>
        <item x="15"/>
        <item x="36"/>
        <item x="39"/>
        <item x="22"/>
        <item x="13"/>
        <item x="37"/>
        <item x="24"/>
        <item x="32"/>
        <item x="16"/>
        <item t="default"/>
      </items>
    </pivotField>
    <pivotField compact="0" showAll="0">
      <items count="67">
        <item x="0"/>
        <item x="27"/>
        <item x="56"/>
        <item x="30"/>
        <item x="53"/>
        <item x="42"/>
        <item x="52"/>
        <item x="46"/>
        <item x="41"/>
        <item x="5"/>
        <item x="57"/>
        <item x="33"/>
        <item x="16"/>
        <item x="20"/>
        <item x="50"/>
        <item x="1"/>
        <item x="47"/>
        <item x="17"/>
        <item x="6"/>
        <item x="54"/>
        <item x="40"/>
        <item x="49"/>
        <item x="7"/>
        <item x="35"/>
        <item x="32"/>
        <item x="26"/>
        <item x="11"/>
        <item x="31"/>
        <item x="15"/>
        <item x="9"/>
        <item x="34"/>
        <item x="22"/>
        <item x="12"/>
        <item x="10"/>
        <item x="44"/>
        <item x="18"/>
        <item x="2"/>
        <item x="25"/>
        <item x="3"/>
        <item x="8"/>
        <item x="36"/>
        <item x="28"/>
        <item x="37"/>
        <item x="4"/>
        <item x="55"/>
        <item x="43"/>
        <item x="19"/>
        <item x="58"/>
        <item x="23"/>
        <item x="14"/>
        <item x="38"/>
        <item x="29"/>
        <item x="21"/>
        <item x="39"/>
        <item x="13"/>
        <item x="51"/>
        <item x="48"/>
        <item x="24"/>
        <item x="61"/>
        <item x="60"/>
        <item x="63"/>
        <item x="65"/>
        <item x="59"/>
        <item x="45"/>
        <item x="64"/>
        <item x="62"/>
        <item t="default"/>
      </items>
    </pivotField>
    <pivotField compact="0" showAll="0">
      <items count="68">
        <item x="40"/>
        <item x="52"/>
        <item x="62"/>
        <item x="27"/>
        <item x="63"/>
        <item x="53"/>
        <item x="31"/>
        <item x="26"/>
        <item x="49"/>
        <item x="18"/>
        <item x="6"/>
        <item x="36"/>
        <item x="48"/>
        <item x="47"/>
        <item x="34"/>
        <item x="59"/>
        <item x="0"/>
        <item x="8"/>
        <item x="33"/>
        <item x="43"/>
        <item x="54"/>
        <item x="35"/>
        <item x="46"/>
        <item x="5"/>
        <item x="1"/>
        <item x="7"/>
        <item x="12"/>
        <item x="3"/>
        <item x="13"/>
        <item x="9"/>
        <item x="17"/>
        <item x="23"/>
        <item x="44"/>
        <item x="32"/>
        <item x="20"/>
        <item x="28"/>
        <item x="21"/>
        <item x="19"/>
        <item x="10"/>
        <item x="42"/>
        <item x="4"/>
        <item x="2"/>
        <item x="15"/>
        <item x="30"/>
        <item x="22"/>
        <item x="14"/>
        <item x="39"/>
        <item x="50"/>
        <item x="16"/>
        <item x="57"/>
        <item x="45"/>
        <item x="58"/>
        <item x="37"/>
        <item x="60"/>
        <item x="24"/>
        <item x="11"/>
        <item x="51"/>
        <item x="61"/>
        <item x="56"/>
        <item x="55"/>
        <item x="25"/>
        <item x="29"/>
        <item x="41"/>
        <item x="64"/>
        <item x="38"/>
        <item x="65"/>
        <item x="66"/>
        <item t="default"/>
      </items>
    </pivotField>
    <pivotField compact="0" showAll="0">
      <items count="63">
        <item x="26"/>
        <item x="52"/>
        <item x="39"/>
        <item x="50"/>
        <item x="49"/>
        <item x="29"/>
        <item x="31"/>
        <item x="42"/>
        <item x="0"/>
        <item x="38"/>
        <item x="33"/>
        <item x="59"/>
        <item x="27"/>
        <item x="55"/>
        <item x="7"/>
        <item x="48"/>
        <item x="30"/>
        <item x="6"/>
        <item x="54"/>
        <item x="8"/>
        <item x="18"/>
        <item x="16"/>
        <item x="20"/>
        <item x="5"/>
        <item x="3"/>
        <item x="35"/>
        <item x="19"/>
        <item x="21"/>
        <item x="47"/>
        <item x="24"/>
        <item x="23"/>
        <item x="14"/>
        <item x="11"/>
        <item x="10"/>
        <item x="25"/>
        <item x="1"/>
        <item x="12"/>
        <item x="32"/>
        <item x="2"/>
        <item x="4"/>
        <item x="34"/>
        <item x="17"/>
        <item x="40"/>
        <item x="36"/>
        <item x="15"/>
        <item x="46"/>
        <item x="51"/>
        <item x="22"/>
        <item x="44"/>
        <item x="53"/>
        <item x="41"/>
        <item x="37"/>
        <item x="43"/>
        <item x="13"/>
        <item x="58"/>
        <item x="61"/>
        <item x="56"/>
        <item x="28"/>
        <item x="9"/>
        <item x="60"/>
        <item x="45"/>
        <item x="57"/>
        <item t="default"/>
      </items>
    </pivotField>
    <pivotField compact="0" showAll="0">
      <items count="66">
        <item x="42"/>
        <item x="64"/>
        <item x="58"/>
        <item x="48"/>
        <item x="34"/>
        <item x="55"/>
        <item x="39"/>
        <item x="57"/>
        <item x="41"/>
        <item x="19"/>
        <item x="44"/>
        <item x="56"/>
        <item x="31"/>
        <item x="15"/>
        <item x="29"/>
        <item x="0"/>
        <item x="21"/>
        <item x="52"/>
        <item x="5"/>
        <item x="6"/>
        <item x="30"/>
        <item x="35"/>
        <item x="22"/>
        <item x="46"/>
        <item x="32"/>
        <item x="50"/>
        <item x="3"/>
        <item x="37"/>
        <item x="7"/>
        <item x="10"/>
        <item x="4"/>
        <item x="1"/>
        <item x="14"/>
        <item x="16"/>
        <item x="26"/>
        <item x="25"/>
        <item x="33"/>
        <item x="12"/>
        <item x="17"/>
        <item x="38"/>
        <item x="8"/>
        <item x="23"/>
        <item x="9"/>
        <item x="13"/>
        <item x="28"/>
        <item x="59"/>
        <item x="47"/>
        <item x="18"/>
        <item x="20"/>
        <item x="51"/>
        <item x="49"/>
        <item x="62"/>
        <item x="11"/>
        <item x="40"/>
        <item x="43"/>
        <item x="2"/>
        <item x="54"/>
        <item x="61"/>
        <item x="27"/>
        <item x="53"/>
        <item x="45"/>
        <item x="63"/>
        <item x="60"/>
        <item x="36"/>
        <item x="24"/>
        <item t="default"/>
      </items>
    </pivotField>
    <pivotField compact="0" showAll="0">
      <items count="65">
        <item x="53"/>
        <item x="59"/>
        <item x="57"/>
        <item x="58"/>
        <item x="52"/>
        <item x="55"/>
        <item x="51"/>
        <item x="0"/>
        <item x="47"/>
        <item x="36"/>
        <item x="34"/>
        <item x="45"/>
        <item x="39"/>
        <item x="28"/>
        <item x="31"/>
        <item x="35"/>
        <item x="3"/>
        <item x="46"/>
        <item x="16"/>
        <item x="23"/>
        <item x="15"/>
        <item x="8"/>
        <item x="6"/>
        <item x="7"/>
        <item x="10"/>
        <item x="25"/>
        <item x="37"/>
        <item x="19"/>
        <item x="27"/>
        <item x="1"/>
        <item x="5"/>
        <item x="33"/>
        <item x="17"/>
        <item x="42"/>
        <item x="2"/>
        <item x="4"/>
        <item x="9"/>
        <item x="14"/>
        <item x="29"/>
        <item x="40"/>
        <item x="22"/>
        <item x="30"/>
        <item x="18"/>
        <item x="11"/>
        <item x="21"/>
        <item x="24"/>
        <item x="13"/>
        <item x="49"/>
        <item x="43"/>
        <item x="44"/>
        <item x="20"/>
        <item x="38"/>
        <item x="12"/>
        <item x="56"/>
        <item x="26"/>
        <item x="54"/>
        <item x="48"/>
        <item x="32"/>
        <item x="41"/>
        <item x="61"/>
        <item x="60"/>
        <item x="63"/>
        <item x="62"/>
        <item x="50"/>
        <item t="default"/>
      </items>
    </pivotField>
    <pivotField compact="0" showAll="0">
      <items count="67">
        <item x="46"/>
        <item x="64"/>
        <item x="56"/>
        <item x="26"/>
        <item x="30"/>
        <item x="59"/>
        <item x="44"/>
        <item x="38"/>
        <item x="31"/>
        <item x="51"/>
        <item x="60"/>
        <item x="22"/>
        <item x="62"/>
        <item x="5"/>
        <item x="34"/>
        <item x="8"/>
        <item x="28"/>
        <item x="48"/>
        <item x="9"/>
        <item x="37"/>
        <item x="42"/>
        <item x="0"/>
        <item x="13"/>
        <item x="3"/>
        <item x="16"/>
        <item x="1"/>
        <item x="24"/>
        <item x="6"/>
        <item x="12"/>
        <item x="36"/>
        <item x="19"/>
        <item x="4"/>
        <item x="7"/>
        <item x="2"/>
        <item x="11"/>
        <item x="10"/>
        <item x="17"/>
        <item x="50"/>
        <item x="23"/>
        <item x="41"/>
        <item x="21"/>
        <item x="29"/>
        <item x="35"/>
        <item x="39"/>
        <item x="20"/>
        <item x="43"/>
        <item x="53"/>
        <item x="54"/>
        <item x="40"/>
        <item x="47"/>
        <item x="15"/>
        <item x="45"/>
        <item x="18"/>
        <item x="32"/>
        <item x="58"/>
        <item x="14"/>
        <item x="57"/>
        <item x="49"/>
        <item x="33"/>
        <item x="27"/>
        <item x="63"/>
        <item x="25"/>
        <item x="61"/>
        <item x="52"/>
        <item x="65"/>
        <item x="55"/>
        <item t="default"/>
      </items>
    </pivotField>
    <pivotField compact="0" showAll="0">
      <items count="206">
        <item x="135"/>
        <item x="145"/>
        <item x="67"/>
        <item x="96"/>
        <item x="192"/>
        <item x="34"/>
        <item x="176"/>
        <item x="88"/>
        <item x="101"/>
        <item x="184"/>
        <item x="62"/>
        <item x="109"/>
        <item x="114"/>
        <item x="39"/>
        <item x="53"/>
        <item x="79"/>
        <item x="144"/>
        <item x="123"/>
        <item x="0"/>
        <item x="47"/>
        <item x="44"/>
        <item x="159"/>
        <item x="84"/>
        <item x="115"/>
        <item x="50"/>
        <item x="165"/>
        <item x="173"/>
        <item x="6"/>
        <item x="80"/>
        <item x="98"/>
        <item x="182"/>
        <item x="174"/>
        <item x="20"/>
        <item x="41"/>
        <item x="177"/>
        <item x="175"/>
        <item x="93"/>
        <item x="55"/>
        <item x="172"/>
        <item x="112"/>
        <item x="126"/>
        <item x="140"/>
        <item x="161"/>
        <item x="118"/>
        <item x="186"/>
        <item x="8"/>
        <item x="108"/>
        <item x="100"/>
        <item x="113"/>
        <item x="156"/>
        <item x="90"/>
        <item x="66"/>
        <item x="32"/>
        <item x="82"/>
        <item x="139"/>
        <item x="73"/>
        <item x="168"/>
        <item x="122"/>
        <item x="3"/>
        <item x="103"/>
        <item x="133"/>
        <item x="61"/>
        <item x="7"/>
        <item x="110"/>
        <item x="83"/>
        <item x="150"/>
        <item x="63"/>
        <item x="27"/>
        <item x="149"/>
        <item x="9"/>
        <item x="180"/>
        <item x="170"/>
        <item x="195"/>
        <item x="36"/>
        <item x="143"/>
        <item x="15"/>
        <item x="10"/>
        <item x="24"/>
        <item x="148"/>
        <item x="5"/>
        <item x="107"/>
        <item x="138"/>
        <item x="40"/>
        <item x="28"/>
        <item x="87"/>
        <item x="31"/>
        <item x="1"/>
        <item x="162"/>
        <item x="65"/>
        <item x="190"/>
        <item x="111"/>
        <item x="19"/>
        <item x="30"/>
        <item x="129"/>
        <item x="77"/>
        <item x="25"/>
        <item x="21"/>
        <item x="71"/>
        <item x="154"/>
        <item x="74"/>
        <item x="49"/>
        <item x="14"/>
        <item x="13"/>
        <item x="166"/>
        <item x="75"/>
        <item x="42"/>
        <item x="124"/>
        <item x="204"/>
        <item x="46"/>
        <item x="105"/>
        <item x="68"/>
        <item x="35"/>
        <item x="85"/>
        <item x="76"/>
        <item x="4"/>
        <item x="102"/>
        <item x="187"/>
        <item x="54"/>
        <item x="120"/>
        <item x="60"/>
        <item x="51"/>
        <item x="29"/>
        <item x="18"/>
        <item x="152"/>
        <item x="94"/>
        <item x="37"/>
        <item x="23"/>
        <item x="22"/>
        <item x="92"/>
        <item x="45"/>
        <item x="33"/>
        <item x="72"/>
        <item x="183"/>
        <item x="57"/>
        <item x="48"/>
        <item x="11"/>
        <item x="128"/>
        <item x="56"/>
        <item x="116"/>
        <item x="2"/>
        <item x="146"/>
        <item x="141"/>
        <item x="70"/>
        <item x="89"/>
        <item x="12"/>
        <item x="64"/>
        <item x="97"/>
        <item x="117"/>
        <item x="164"/>
        <item x="163"/>
        <item x="136"/>
        <item x="81"/>
        <item x="119"/>
        <item x="155"/>
        <item x="95"/>
        <item x="157"/>
        <item x="121"/>
        <item x="17"/>
        <item x="171"/>
        <item x="99"/>
        <item x="142"/>
        <item x="106"/>
        <item x="153"/>
        <item x="188"/>
        <item x="131"/>
        <item x="169"/>
        <item x="151"/>
        <item x="196"/>
        <item x="78"/>
        <item x="58"/>
        <item x="16"/>
        <item x="52"/>
        <item x="137"/>
        <item x="104"/>
        <item x="130"/>
        <item x="43"/>
        <item x="127"/>
        <item x="200"/>
        <item x="160"/>
        <item x="201"/>
        <item x="167"/>
        <item x="26"/>
        <item x="197"/>
        <item x="198"/>
        <item x="203"/>
        <item x="125"/>
        <item x="189"/>
        <item x="69"/>
        <item x="178"/>
        <item x="86"/>
        <item x="179"/>
        <item x="191"/>
        <item x="199"/>
        <item x="134"/>
        <item x="193"/>
        <item x="185"/>
        <item x="91"/>
        <item x="147"/>
        <item x="181"/>
        <item x="59"/>
        <item x="132"/>
        <item x="158"/>
        <item x="194"/>
        <item x="38"/>
        <item x="202"/>
        <item t="default"/>
      </items>
    </pivotField>
    <pivotField dataField="1" compact="0" numFmtId="180" showAll="0">
      <items count="206">
        <item x="135"/>
        <item x="145"/>
        <item x="67"/>
        <item x="96"/>
        <item x="192"/>
        <item x="34"/>
        <item x="176"/>
        <item x="88"/>
        <item x="101"/>
        <item x="184"/>
        <item x="62"/>
        <item x="109"/>
        <item x="114"/>
        <item x="39"/>
        <item x="53"/>
        <item x="79"/>
        <item x="144"/>
        <item x="123"/>
        <item x="0"/>
        <item x="47"/>
        <item x="44"/>
        <item x="159"/>
        <item x="84"/>
        <item x="115"/>
        <item x="50"/>
        <item x="165"/>
        <item x="173"/>
        <item x="6"/>
        <item x="80"/>
        <item x="98"/>
        <item x="182"/>
        <item x="174"/>
        <item x="20"/>
        <item x="41"/>
        <item x="177"/>
        <item x="175"/>
        <item x="93"/>
        <item x="55"/>
        <item x="172"/>
        <item x="112"/>
        <item x="126"/>
        <item x="140"/>
        <item x="161"/>
        <item x="118"/>
        <item x="186"/>
        <item x="8"/>
        <item x="108"/>
        <item x="100"/>
        <item x="113"/>
        <item x="156"/>
        <item x="90"/>
        <item x="66"/>
        <item x="32"/>
        <item x="82"/>
        <item x="139"/>
        <item x="73"/>
        <item x="168"/>
        <item x="122"/>
        <item x="3"/>
        <item x="103"/>
        <item x="133"/>
        <item x="61"/>
        <item x="7"/>
        <item x="110"/>
        <item x="83"/>
        <item x="150"/>
        <item x="63"/>
        <item x="27"/>
        <item x="149"/>
        <item x="9"/>
        <item x="180"/>
        <item x="170"/>
        <item x="195"/>
        <item x="36"/>
        <item x="143"/>
        <item x="15"/>
        <item x="10"/>
        <item x="24"/>
        <item x="148"/>
        <item x="5"/>
        <item x="107"/>
        <item x="138"/>
        <item x="40"/>
        <item x="28"/>
        <item x="87"/>
        <item x="31"/>
        <item x="1"/>
        <item x="162"/>
        <item x="65"/>
        <item x="190"/>
        <item x="111"/>
        <item x="19"/>
        <item x="30"/>
        <item x="129"/>
        <item x="77"/>
        <item x="25"/>
        <item x="21"/>
        <item x="71"/>
        <item x="154"/>
        <item x="74"/>
        <item x="49"/>
        <item x="14"/>
        <item x="13"/>
        <item x="166"/>
        <item x="75"/>
        <item x="42"/>
        <item x="124"/>
        <item x="204"/>
        <item x="46"/>
        <item x="105"/>
        <item x="68"/>
        <item x="35"/>
        <item x="85"/>
        <item x="76"/>
        <item x="4"/>
        <item x="102"/>
        <item x="187"/>
        <item x="54"/>
        <item x="120"/>
        <item x="60"/>
        <item x="51"/>
        <item x="29"/>
        <item x="18"/>
        <item x="152"/>
        <item x="94"/>
        <item x="37"/>
        <item x="23"/>
        <item x="22"/>
        <item x="92"/>
        <item x="45"/>
        <item x="33"/>
        <item x="72"/>
        <item x="183"/>
        <item x="57"/>
        <item x="48"/>
        <item x="11"/>
        <item x="128"/>
        <item x="56"/>
        <item x="116"/>
        <item x="2"/>
        <item x="146"/>
        <item x="141"/>
        <item x="70"/>
        <item x="89"/>
        <item x="12"/>
        <item x="64"/>
        <item x="97"/>
        <item x="117"/>
        <item x="164"/>
        <item x="163"/>
        <item x="136"/>
        <item x="81"/>
        <item x="119"/>
        <item x="155"/>
        <item x="95"/>
        <item x="157"/>
        <item x="121"/>
        <item x="17"/>
        <item x="171"/>
        <item x="99"/>
        <item x="142"/>
        <item x="106"/>
        <item x="153"/>
        <item x="188"/>
        <item x="131"/>
        <item x="169"/>
        <item x="151"/>
        <item x="196"/>
        <item x="78"/>
        <item x="58"/>
        <item x="16"/>
        <item x="52"/>
        <item x="137"/>
        <item x="104"/>
        <item x="130"/>
        <item x="43"/>
        <item x="127"/>
        <item x="200"/>
        <item x="160"/>
        <item x="201"/>
        <item x="167"/>
        <item x="26"/>
        <item x="197"/>
        <item x="198"/>
        <item x="203"/>
        <item x="125"/>
        <item x="189"/>
        <item x="69"/>
        <item x="178"/>
        <item x="86"/>
        <item x="179"/>
        <item x="191"/>
        <item x="199"/>
        <item x="134"/>
        <item x="193"/>
        <item x="185"/>
        <item x="91"/>
        <item x="147"/>
        <item x="181"/>
        <item x="59"/>
        <item x="132"/>
        <item x="158"/>
        <item x="194"/>
        <item x="38"/>
        <item x="20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Average_Marks" fld="1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3:H10" firstHeaderRow="1" firstDataRow="1" firstDataCol="1"/>
  <pivotFields count="17">
    <pivotField compact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showAll="0">
      <items count="215">
        <item x="189"/>
        <item x="137"/>
        <item x="125"/>
        <item x="53"/>
        <item x="211"/>
        <item x="6"/>
        <item x="108"/>
        <item x="88"/>
        <item x="59"/>
        <item x="182"/>
        <item x="134"/>
        <item x="5"/>
        <item x="24"/>
        <item x="55"/>
        <item x="104"/>
        <item x="38"/>
        <item x="23"/>
        <item x="165"/>
        <item x="162"/>
        <item x="135"/>
        <item x="166"/>
        <item x="136"/>
        <item x="184"/>
        <item x="101"/>
        <item x="65"/>
        <item x="50"/>
        <item x="57"/>
        <item x="132"/>
        <item x="99"/>
        <item x="63"/>
        <item x="97"/>
        <item x="72"/>
        <item x="151"/>
        <item x="139"/>
        <item x="198"/>
        <item x="79"/>
        <item x="128"/>
        <item x="124"/>
        <item x="74"/>
        <item x="188"/>
        <item x="201"/>
        <item x="41"/>
        <item x="200"/>
        <item x="161"/>
        <item x="80"/>
        <item x="152"/>
        <item x="126"/>
        <item x="86"/>
        <item x="51"/>
        <item x="91"/>
        <item x="12"/>
        <item x="159"/>
        <item x="190"/>
        <item x="8"/>
        <item x="154"/>
        <item x="195"/>
        <item x="144"/>
        <item x="95"/>
        <item x="122"/>
        <item x="197"/>
        <item x="196"/>
        <item x="177"/>
        <item x="174"/>
        <item x="141"/>
        <item x="171"/>
        <item x="87"/>
        <item x="18"/>
        <item x="208"/>
        <item x="66"/>
        <item x="185"/>
        <item x="160"/>
        <item x="209"/>
        <item x="37"/>
        <item x="143"/>
        <item x="111"/>
        <item x="140"/>
        <item x="127"/>
        <item x="178"/>
        <item x="42"/>
        <item x="207"/>
        <item x="105"/>
        <item x="119"/>
        <item x="100"/>
        <item x="138"/>
        <item x="170"/>
        <item x="85"/>
        <item x="21"/>
        <item x="56"/>
        <item x="69"/>
        <item x="117"/>
        <item x="103"/>
        <item x="17"/>
        <item x="13"/>
        <item x="81"/>
        <item x="92"/>
        <item x="213"/>
        <item x="9"/>
        <item x="62"/>
        <item x="78"/>
        <item x="202"/>
        <item x="49"/>
        <item x="116"/>
        <item x="163"/>
        <item x="130"/>
        <item x="14"/>
        <item x="155"/>
        <item x="40"/>
        <item x="121"/>
        <item x="204"/>
        <item x="203"/>
        <item x="157"/>
        <item x="34"/>
        <item x="26"/>
        <item x="168"/>
        <item x="118"/>
        <item x="39"/>
        <item x="89"/>
        <item x="109"/>
        <item x="172"/>
        <item x="112"/>
        <item x="10"/>
        <item x="58"/>
        <item x="149"/>
        <item x="115"/>
        <item x="33"/>
        <item x="150"/>
        <item x="133"/>
        <item x="0"/>
        <item x="61"/>
        <item x="176"/>
        <item x="54"/>
        <item x="114"/>
        <item x="46"/>
        <item x="7"/>
        <item x="84"/>
        <item x="98"/>
        <item x="180"/>
        <item x="148"/>
        <item x="3"/>
        <item x="106"/>
        <item x="45"/>
        <item x="153"/>
        <item x="77"/>
        <item x="4"/>
        <item x="43"/>
        <item x="93"/>
        <item x="90"/>
        <item x="27"/>
        <item x="110"/>
        <item x="15"/>
        <item x="22"/>
        <item x="167"/>
        <item x="25"/>
        <item x="60"/>
        <item x="205"/>
        <item x="179"/>
        <item x="175"/>
        <item x="131"/>
        <item x="181"/>
        <item x="48"/>
        <item x="29"/>
        <item x="83"/>
        <item x="11"/>
        <item x="52"/>
        <item x="70"/>
        <item x="194"/>
        <item x="64"/>
        <item x="147"/>
        <item x="123"/>
        <item x="73"/>
        <item x="113"/>
        <item x="192"/>
        <item x="199"/>
        <item x="120"/>
        <item x="142"/>
        <item x="169"/>
        <item x="16"/>
        <item x="145"/>
        <item x="156"/>
        <item x="71"/>
        <item x="146"/>
        <item x="19"/>
        <item x="107"/>
        <item x="186"/>
        <item x="191"/>
        <item x="158"/>
        <item x="76"/>
        <item x="173"/>
        <item x="68"/>
        <item x="75"/>
        <item x="31"/>
        <item x="28"/>
        <item x="20"/>
        <item x="129"/>
        <item x="36"/>
        <item x="82"/>
        <item x="212"/>
        <item x="1"/>
        <item x="30"/>
        <item x="2"/>
        <item x="47"/>
        <item x="193"/>
        <item x="96"/>
        <item x="210"/>
        <item x="206"/>
        <item x="44"/>
        <item x="164"/>
        <item x="102"/>
        <item x="94"/>
        <item x="32"/>
        <item x="67"/>
        <item x="183"/>
        <item x="187"/>
        <item x="3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axis="axisRow" compact="0" showAll="0">
      <items count="7">
        <item x="1"/>
        <item x="0"/>
        <item x="4"/>
        <item x="3"/>
        <item x="5"/>
        <item x="2"/>
        <item t="default"/>
      </items>
    </pivotField>
    <pivotField compact="0" showAll="0">
      <items count="9">
        <item x="3"/>
        <item x="1"/>
        <item x="2"/>
        <item x="5"/>
        <item x="7"/>
        <item x="4"/>
        <item x="0"/>
        <item x="6"/>
        <item t="default"/>
      </items>
    </pivotField>
    <pivotField dataField="1" compact="0" showAll="0">
      <items count="45">
        <item x="43"/>
        <item x="40"/>
        <item x="41"/>
        <item x="27"/>
        <item x="42"/>
        <item x="35"/>
        <item x="34"/>
        <item x="38"/>
        <item x="33"/>
        <item x="26"/>
        <item x="23"/>
        <item x="7"/>
        <item x="29"/>
        <item x="14"/>
        <item x="18"/>
        <item x="9"/>
        <item x="28"/>
        <item x="5"/>
        <item x="20"/>
        <item x="10"/>
        <item x="25"/>
        <item x="2"/>
        <item x="19"/>
        <item x="3"/>
        <item x="6"/>
        <item x="31"/>
        <item x="11"/>
        <item x="4"/>
        <item x="12"/>
        <item x="1"/>
        <item x="30"/>
        <item x="17"/>
        <item x="8"/>
        <item x="0"/>
        <item x="21"/>
        <item x="15"/>
        <item x="36"/>
        <item x="39"/>
        <item x="22"/>
        <item x="13"/>
        <item x="37"/>
        <item x="24"/>
        <item x="32"/>
        <item x="16"/>
        <item t="default"/>
      </items>
    </pivotField>
    <pivotField compact="0" showAll="0">
      <items count="67">
        <item x="0"/>
        <item x="27"/>
        <item x="56"/>
        <item x="30"/>
        <item x="53"/>
        <item x="42"/>
        <item x="52"/>
        <item x="46"/>
        <item x="41"/>
        <item x="5"/>
        <item x="57"/>
        <item x="33"/>
        <item x="16"/>
        <item x="20"/>
        <item x="50"/>
        <item x="1"/>
        <item x="47"/>
        <item x="17"/>
        <item x="6"/>
        <item x="54"/>
        <item x="40"/>
        <item x="49"/>
        <item x="7"/>
        <item x="35"/>
        <item x="32"/>
        <item x="26"/>
        <item x="11"/>
        <item x="31"/>
        <item x="15"/>
        <item x="9"/>
        <item x="34"/>
        <item x="22"/>
        <item x="12"/>
        <item x="10"/>
        <item x="44"/>
        <item x="18"/>
        <item x="2"/>
        <item x="25"/>
        <item x="3"/>
        <item x="8"/>
        <item x="36"/>
        <item x="28"/>
        <item x="37"/>
        <item x="4"/>
        <item x="55"/>
        <item x="43"/>
        <item x="19"/>
        <item x="58"/>
        <item x="23"/>
        <item x="14"/>
        <item x="38"/>
        <item x="29"/>
        <item x="21"/>
        <item x="39"/>
        <item x="13"/>
        <item x="51"/>
        <item x="48"/>
        <item x="24"/>
        <item x="61"/>
        <item x="60"/>
        <item x="63"/>
        <item x="65"/>
        <item x="59"/>
        <item x="45"/>
        <item x="64"/>
        <item x="62"/>
        <item t="default"/>
      </items>
    </pivotField>
    <pivotField compact="0" showAll="0">
      <items count="68">
        <item x="40"/>
        <item x="52"/>
        <item x="62"/>
        <item x="27"/>
        <item x="63"/>
        <item x="53"/>
        <item x="31"/>
        <item x="26"/>
        <item x="49"/>
        <item x="18"/>
        <item x="6"/>
        <item x="36"/>
        <item x="48"/>
        <item x="47"/>
        <item x="34"/>
        <item x="59"/>
        <item x="0"/>
        <item x="8"/>
        <item x="33"/>
        <item x="43"/>
        <item x="54"/>
        <item x="35"/>
        <item x="46"/>
        <item x="5"/>
        <item x="1"/>
        <item x="7"/>
        <item x="12"/>
        <item x="3"/>
        <item x="13"/>
        <item x="9"/>
        <item x="17"/>
        <item x="23"/>
        <item x="44"/>
        <item x="32"/>
        <item x="20"/>
        <item x="28"/>
        <item x="21"/>
        <item x="19"/>
        <item x="10"/>
        <item x="42"/>
        <item x="4"/>
        <item x="2"/>
        <item x="15"/>
        <item x="30"/>
        <item x="22"/>
        <item x="14"/>
        <item x="39"/>
        <item x="50"/>
        <item x="16"/>
        <item x="57"/>
        <item x="45"/>
        <item x="58"/>
        <item x="37"/>
        <item x="60"/>
        <item x="24"/>
        <item x="11"/>
        <item x="51"/>
        <item x="61"/>
        <item x="56"/>
        <item x="55"/>
        <item x="25"/>
        <item x="29"/>
        <item x="41"/>
        <item x="64"/>
        <item x="38"/>
        <item x="65"/>
        <item x="66"/>
        <item t="default"/>
      </items>
    </pivotField>
    <pivotField compact="0" showAll="0">
      <items count="63">
        <item x="26"/>
        <item x="52"/>
        <item x="39"/>
        <item x="50"/>
        <item x="49"/>
        <item x="29"/>
        <item x="31"/>
        <item x="42"/>
        <item x="0"/>
        <item x="38"/>
        <item x="33"/>
        <item x="59"/>
        <item x="27"/>
        <item x="55"/>
        <item x="7"/>
        <item x="48"/>
        <item x="30"/>
        <item x="6"/>
        <item x="54"/>
        <item x="8"/>
        <item x="18"/>
        <item x="16"/>
        <item x="20"/>
        <item x="5"/>
        <item x="3"/>
        <item x="35"/>
        <item x="19"/>
        <item x="21"/>
        <item x="47"/>
        <item x="24"/>
        <item x="23"/>
        <item x="14"/>
        <item x="11"/>
        <item x="10"/>
        <item x="25"/>
        <item x="1"/>
        <item x="12"/>
        <item x="32"/>
        <item x="2"/>
        <item x="4"/>
        <item x="34"/>
        <item x="17"/>
        <item x="40"/>
        <item x="36"/>
        <item x="15"/>
        <item x="46"/>
        <item x="51"/>
        <item x="22"/>
        <item x="44"/>
        <item x="53"/>
        <item x="41"/>
        <item x="37"/>
        <item x="43"/>
        <item x="13"/>
        <item x="58"/>
        <item x="61"/>
        <item x="56"/>
        <item x="28"/>
        <item x="9"/>
        <item x="60"/>
        <item x="45"/>
        <item x="57"/>
        <item t="default"/>
      </items>
    </pivotField>
    <pivotField compact="0" showAll="0">
      <items count="66">
        <item x="42"/>
        <item x="64"/>
        <item x="58"/>
        <item x="48"/>
        <item x="34"/>
        <item x="55"/>
        <item x="39"/>
        <item x="57"/>
        <item x="41"/>
        <item x="19"/>
        <item x="44"/>
        <item x="56"/>
        <item x="31"/>
        <item x="15"/>
        <item x="29"/>
        <item x="0"/>
        <item x="21"/>
        <item x="52"/>
        <item x="5"/>
        <item x="6"/>
        <item x="30"/>
        <item x="35"/>
        <item x="22"/>
        <item x="46"/>
        <item x="32"/>
        <item x="50"/>
        <item x="3"/>
        <item x="37"/>
        <item x="7"/>
        <item x="10"/>
        <item x="4"/>
        <item x="1"/>
        <item x="14"/>
        <item x="16"/>
        <item x="26"/>
        <item x="25"/>
        <item x="33"/>
        <item x="12"/>
        <item x="17"/>
        <item x="38"/>
        <item x="8"/>
        <item x="23"/>
        <item x="9"/>
        <item x="13"/>
        <item x="28"/>
        <item x="59"/>
        <item x="47"/>
        <item x="18"/>
        <item x="20"/>
        <item x="51"/>
        <item x="49"/>
        <item x="62"/>
        <item x="11"/>
        <item x="40"/>
        <item x="43"/>
        <item x="2"/>
        <item x="54"/>
        <item x="61"/>
        <item x="27"/>
        <item x="53"/>
        <item x="45"/>
        <item x="63"/>
        <item x="60"/>
        <item x="36"/>
        <item x="24"/>
        <item t="default"/>
      </items>
    </pivotField>
    <pivotField compact="0" showAll="0">
      <items count="65">
        <item x="53"/>
        <item x="59"/>
        <item x="57"/>
        <item x="58"/>
        <item x="52"/>
        <item x="55"/>
        <item x="51"/>
        <item x="0"/>
        <item x="47"/>
        <item x="36"/>
        <item x="34"/>
        <item x="45"/>
        <item x="39"/>
        <item x="28"/>
        <item x="31"/>
        <item x="35"/>
        <item x="3"/>
        <item x="46"/>
        <item x="16"/>
        <item x="23"/>
        <item x="15"/>
        <item x="8"/>
        <item x="6"/>
        <item x="7"/>
        <item x="10"/>
        <item x="25"/>
        <item x="37"/>
        <item x="19"/>
        <item x="27"/>
        <item x="1"/>
        <item x="5"/>
        <item x="33"/>
        <item x="17"/>
        <item x="42"/>
        <item x="2"/>
        <item x="4"/>
        <item x="9"/>
        <item x="14"/>
        <item x="29"/>
        <item x="40"/>
        <item x="22"/>
        <item x="30"/>
        <item x="18"/>
        <item x="11"/>
        <item x="21"/>
        <item x="24"/>
        <item x="13"/>
        <item x="49"/>
        <item x="43"/>
        <item x="44"/>
        <item x="20"/>
        <item x="38"/>
        <item x="12"/>
        <item x="56"/>
        <item x="26"/>
        <item x="54"/>
        <item x="48"/>
        <item x="32"/>
        <item x="41"/>
        <item x="61"/>
        <item x="60"/>
        <item x="63"/>
        <item x="62"/>
        <item x="50"/>
        <item t="default"/>
      </items>
    </pivotField>
    <pivotField compact="0" showAll="0">
      <items count="67">
        <item x="46"/>
        <item x="64"/>
        <item x="56"/>
        <item x="26"/>
        <item x="30"/>
        <item x="59"/>
        <item x="44"/>
        <item x="38"/>
        <item x="31"/>
        <item x="51"/>
        <item x="60"/>
        <item x="22"/>
        <item x="62"/>
        <item x="5"/>
        <item x="34"/>
        <item x="8"/>
        <item x="28"/>
        <item x="48"/>
        <item x="9"/>
        <item x="37"/>
        <item x="42"/>
        <item x="0"/>
        <item x="13"/>
        <item x="3"/>
        <item x="16"/>
        <item x="1"/>
        <item x="24"/>
        <item x="6"/>
        <item x="12"/>
        <item x="36"/>
        <item x="19"/>
        <item x="4"/>
        <item x="7"/>
        <item x="2"/>
        <item x="11"/>
        <item x="10"/>
        <item x="17"/>
        <item x="50"/>
        <item x="23"/>
        <item x="41"/>
        <item x="21"/>
        <item x="29"/>
        <item x="35"/>
        <item x="39"/>
        <item x="20"/>
        <item x="43"/>
        <item x="53"/>
        <item x="54"/>
        <item x="40"/>
        <item x="47"/>
        <item x="15"/>
        <item x="45"/>
        <item x="18"/>
        <item x="32"/>
        <item x="58"/>
        <item x="14"/>
        <item x="57"/>
        <item x="49"/>
        <item x="33"/>
        <item x="27"/>
        <item x="63"/>
        <item x="25"/>
        <item x="61"/>
        <item x="52"/>
        <item x="65"/>
        <item x="55"/>
        <item t="default"/>
      </items>
    </pivotField>
    <pivotField compact="0" showAll="0">
      <items count="206">
        <item x="135"/>
        <item x="145"/>
        <item x="67"/>
        <item x="96"/>
        <item x="192"/>
        <item x="34"/>
        <item x="176"/>
        <item x="88"/>
        <item x="101"/>
        <item x="184"/>
        <item x="62"/>
        <item x="109"/>
        <item x="114"/>
        <item x="39"/>
        <item x="53"/>
        <item x="79"/>
        <item x="144"/>
        <item x="123"/>
        <item x="0"/>
        <item x="47"/>
        <item x="44"/>
        <item x="159"/>
        <item x="84"/>
        <item x="115"/>
        <item x="50"/>
        <item x="165"/>
        <item x="173"/>
        <item x="6"/>
        <item x="80"/>
        <item x="98"/>
        <item x="182"/>
        <item x="174"/>
        <item x="20"/>
        <item x="41"/>
        <item x="177"/>
        <item x="175"/>
        <item x="93"/>
        <item x="55"/>
        <item x="172"/>
        <item x="112"/>
        <item x="126"/>
        <item x="140"/>
        <item x="161"/>
        <item x="118"/>
        <item x="186"/>
        <item x="8"/>
        <item x="108"/>
        <item x="100"/>
        <item x="113"/>
        <item x="156"/>
        <item x="90"/>
        <item x="66"/>
        <item x="32"/>
        <item x="82"/>
        <item x="139"/>
        <item x="73"/>
        <item x="168"/>
        <item x="122"/>
        <item x="3"/>
        <item x="103"/>
        <item x="133"/>
        <item x="61"/>
        <item x="7"/>
        <item x="110"/>
        <item x="83"/>
        <item x="150"/>
        <item x="63"/>
        <item x="27"/>
        <item x="149"/>
        <item x="9"/>
        <item x="180"/>
        <item x="170"/>
        <item x="195"/>
        <item x="36"/>
        <item x="143"/>
        <item x="15"/>
        <item x="10"/>
        <item x="24"/>
        <item x="148"/>
        <item x="5"/>
        <item x="107"/>
        <item x="138"/>
        <item x="40"/>
        <item x="28"/>
        <item x="87"/>
        <item x="31"/>
        <item x="1"/>
        <item x="162"/>
        <item x="65"/>
        <item x="190"/>
        <item x="111"/>
        <item x="19"/>
        <item x="30"/>
        <item x="129"/>
        <item x="77"/>
        <item x="25"/>
        <item x="21"/>
        <item x="71"/>
        <item x="154"/>
        <item x="74"/>
        <item x="49"/>
        <item x="14"/>
        <item x="13"/>
        <item x="166"/>
        <item x="75"/>
        <item x="42"/>
        <item x="124"/>
        <item x="204"/>
        <item x="46"/>
        <item x="105"/>
        <item x="68"/>
        <item x="35"/>
        <item x="85"/>
        <item x="76"/>
        <item x="4"/>
        <item x="102"/>
        <item x="187"/>
        <item x="54"/>
        <item x="120"/>
        <item x="60"/>
        <item x="51"/>
        <item x="29"/>
        <item x="18"/>
        <item x="152"/>
        <item x="94"/>
        <item x="37"/>
        <item x="23"/>
        <item x="22"/>
        <item x="92"/>
        <item x="45"/>
        <item x="33"/>
        <item x="72"/>
        <item x="183"/>
        <item x="57"/>
        <item x="48"/>
        <item x="11"/>
        <item x="128"/>
        <item x="56"/>
        <item x="116"/>
        <item x="2"/>
        <item x="146"/>
        <item x="141"/>
        <item x="70"/>
        <item x="89"/>
        <item x="12"/>
        <item x="64"/>
        <item x="97"/>
        <item x="117"/>
        <item x="164"/>
        <item x="163"/>
        <item x="136"/>
        <item x="81"/>
        <item x="119"/>
        <item x="155"/>
        <item x="95"/>
        <item x="157"/>
        <item x="121"/>
        <item x="17"/>
        <item x="171"/>
        <item x="99"/>
        <item x="142"/>
        <item x="106"/>
        <item x="153"/>
        <item x="188"/>
        <item x="131"/>
        <item x="169"/>
        <item x="151"/>
        <item x="196"/>
        <item x="78"/>
        <item x="58"/>
        <item x="16"/>
        <item x="52"/>
        <item x="137"/>
        <item x="104"/>
        <item x="130"/>
        <item x="43"/>
        <item x="127"/>
        <item x="200"/>
        <item x="160"/>
        <item x="201"/>
        <item x="167"/>
        <item x="26"/>
        <item x="197"/>
        <item x="198"/>
        <item x="203"/>
        <item x="125"/>
        <item x="189"/>
        <item x="69"/>
        <item x="178"/>
        <item x="86"/>
        <item x="179"/>
        <item x="191"/>
        <item x="199"/>
        <item x="134"/>
        <item x="193"/>
        <item x="185"/>
        <item x="91"/>
        <item x="147"/>
        <item x="181"/>
        <item x="59"/>
        <item x="132"/>
        <item x="158"/>
        <item x="194"/>
        <item x="38"/>
        <item x="202"/>
        <item t="default"/>
      </items>
    </pivotField>
    <pivotField compact="0" numFmtId="180" showAll="0">
      <items count="206">
        <item x="135"/>
        <item x="145"/>
        <item x="67"/>
        <item x="96"/>
        <item x="192"/>
        <item x="34"/>
        <item x="176"/>
        <item x="88"/>
        <item x="101"/>
        <item x="184"/>
        <item x="62"/>
        <item x="109"/>
        <item x="114"/>
        <item x="39"/>
        <item x="53"/>
        <item x="79"/>
        <item x="144"/>
        <item x="123"/>
        <item x="0"/>
        <item x="47"/>
        <item x="44"/>
        <item x="159"/>
        <item x="84"/>
        <item x="115"/>
        <item x="50"/>
        <item x="165"/>
        <item x="173"/>
        <item x="6"/>
        <item x="80"/>
        <item x="98"/>
        <item x="182"/>
        <item x="174"/>
        <item x="20"/>
        <item x="41"/>
        <item x="177"/>
        <item x="175"/>
        <item x="93"/>
        <item x="55"/>
        <item x="172"/>
        <item x="112"/>
        <item x="126"/>
        <item x="140"/>
        <item x="161"/>
        <item x="118"/>
        <item x="186"/>
        <item x="8"/>
        <item x="108"/>
        <item x="100"/>
        <item x="113"/>
        <item x="156"/>
        <item x="90"/>
        <item x="66"/>
        <item x="32"/>
        <item x="82"/>
        <item x="139"/>
        <item x="73"/>
        <item x="168"/>
        <item x="122"/>
        <item x="3"/>
        <item x="103"/>
        <item x="133"/>
        <item x="61"/>
        <item x="7"/>
        <item x="110"/>
        <item x="83"/>
        <item x="150"/>
        <item x="63"/>
        <item x="27"/>
        <item x="149"/>
        <item x="9"/>
        <item x="180"/>
        <item x="170"/>
        <item x="195"/>
        <item x="36"/>
        <item x="143"/>
        <item x="15"/>
        <item x="10"/>
        <item x="24"/>
        <item x="148"/>
        <item x="5"/>
        <item x="107"/>
        <item x="138"/>
        <item x="40"/>
        <item x="28"/>
        <item x="87"/>
        <item x="31"/>
        <item x="1"/>
        <item x="162"/>
        <item x="65"/>
        <item x="190"/>
        <item x="111"/>
        <item x="19"/>
        <item x="30"/>
        <item x="129"/>
        <item x="77"/>
        <item x="25"/>
        <item x="21"/>
        <item x="71"/>
        <item x="154"/>
        <item x="74"/>
        <item x="49"/>
        <item x="14"/>
        <item x="13"/>
        <item x="166"/>
        <item x="75"/>
        <item x="42"/>
        <item x="124"/>
        <item x="204"/>
        <item x="46"/>
        <item x="105"/>
        <item x="68"/>
        <item x="35"/>
        <item x="85"/>
        <item x="76"/>
        <item x="4"/>
        <item x="102"/>
        <item x="187"/>
        <item x="54"/>
        <item x="120"/>
        <item x="60"/>
        <item x="51"/>
        <item x="29"/>
        <item x="18"/>
        <item x="152"/>
        <item x="94"/>
        <item x="37"/>
        <item x="23"/>
        <item x="22"/>
        <item x="92"/>
        <item x="45"/>
        <item x="33"/>
        <item x="72"/>
        <item x="183"/>
        <item x="57"/>
        <item x="48"/>
        <item x="11"/>
        <item x="128"/>
        <item x="56"/>
        <item x="116"/>
        <item x="2"/>
        <item x="146"/>
        <item x="141"/>
        <item x="70"/>
        <item x="89"/>
        <item x="12"/>
        <item x="64"/>
        <item x="97"/>
        <item x="117"/>
        <item x="164"/>
        <item x="163"/>
        <item x="136"/>
        <item x="81"/>
        <item x="119"/>
        <item x="155"/>
        <item x="95"/>
        <item x="157"/>
        <item x="121"/>
        <item x="17"/>
        <item x="171"/>
        <item x="99"/>
        <item x="142"/>
        <item x="106"/>
        <item x="153"/>
        <item x="188"/>
        <item x="131"/>
        <item x="169"/>
        <item x="151"/>
        <item x="196"/>
        <item x="78"/>
        <item x="58"/>
        <item x="16"/>
        <item x="52"/>
        <item x="137"/>
        <item x="104"/>
        <item x="130"/>
        <item x="43"/>
        <item x="127"/>
        <item x="200"/>
        <item x="160"/>
        <item x="201"/>
        <item x="167"/>
        <item x="26"/>
        <item x="197"/>
        <item x="198"/>
        <item x="203"/>
        <item x="125"/>
        <item x="189"/>
        <item x="69"/>
        <item x="178"/>
        <item x="86"/>
        <item x="179"/>
        <item x="191"/>
        <item x="199"/>
        <item x="134"/>
        <item x="193"/>
        <item x="185"/>
        <item x="91"/>
        <item x="147"/>
        <item x="181"/>
        <item x="59"/>
        <item x="132"/>
        <item x="158"/>
        <item x="194"/>
        <item x="38"/>
        <item x="20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ttendance_Percentage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1:C38" firstHeaderRow="1" firstDataRow="1" firstDataCol="1"/>
  <pivotFields count="17">
    <pivotField compact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showAll="0">
      <items count="215">
        <item x="189"/>
        <item x="137"/>
        <item x="125"/>
        <item x="53"/>
        <item x="211"/>
        <item x="6"/>
        <item x="108"/>
        <item x="88"/>
        <item x="59"/>
        <item x="182"/>
        <item x="134"/>
        <item x="5"/>
        <item x="24"/>
        <item x="55"/>
        <item x="104"/>
        <item x="38"/>
        <item x="23"/>
        <item x="165"/>
        <item x="162"/>
        <item x="135"/>
        <item x="166"/>
        <item x="136"/>
        <item x="184"/>
        <item x="101"/>
        <item x="65"/>
        <item x="50"/>
        <item x="57"/>
        <item x="132"/>
        <item x="99"/>
        <item x="63"/>
        <item x="97"/>
        <item x="72"/>
        <item x="151"/>
        <item x="139"/>
        <item x="198"/>
        <item x="79"/>
        <item x="128"/>
        <item x="124"/>
        <item x="74"/>
        <item x="188"/>
        <item x="201"/>
        <item x="41"/>
        <item x="200"/>
        <item x="161"/>
        <item x="80"/>
        <item x="152"/>
        <item x="126"/>
        <item x="86"/>
        <item x="51"/>
        <item x="91"/>
        <item x="12"/>
        <item x="159"/>
        <item x="190"/>
        <item x="8"/>
        <item x="154"/>
        <item x="195"/>
        <item x="144"/>
        <item x="95"/>
        <item x="122"/>
        <item x="197"/>
        <item x="196"/>
        <item x="177"/>
        <item x="174"/>
        <item x="141"/>
        <item x="171"/>
        <item x="87"/>
        <item x="18"/>
        <item x="208"/>
        <item x="66"/>
        <item x="185"/>
        <item x="160"/>
        <item x="209"/>
        <item x="37"/>
        <item x="143"/>
        <item x="111"/>
        <item x="140"/>
        <item x="127"/>
        <item x="178"/>
        <item x="42"/>
        <item x="207"/>
        <item x="105"/>
        <item x="119"/>
        <item x="100"/>
        <item x="138"/>
        <item x="170"/>
        <item x="85"/>
        <item x="21"/>
        <item x="56"/>
        <item x="69"/>
        <item x="117"/>
        <item x="103"/>
        <item x="17"/>
        <item x="13"/>
        <item x="81"/>
        <item x="92"/>
        <item x="213"/>
        <item x="9"/>
        <item x="62"/>
        <item x="78"/>
        <item x="202"/>
        <item x="49"/>
        <item x="116"/>
        <item x="163"/>
        <item x="130"/>
        <item x="14"/>
        <item x="155"/>
        <item x="40"/>
        <item x="121"/>
        <item x="204"/>
        <item x="203"/>
        <item x="157"/>
        <item x="34"/>
        <item x="26"/>
        <item x="168"/>
        <item x="118"/>
        <item x="39"/>
        <item x="89"/>
        <item x="109"/>
        <item x="172"/>
        <item x="112"/>
        <item x="10"/>
        <item x="58"/>
        <item x="149"/>
        <item x="115"/>
        <item x="33"/>
        <item x="150"/>
        <item x="133"/>
        <item x="0"/>
        <item x="61"/>
        <item x="176"/>
        <item x="54"/>
        <item x="114"/>
        <item x="46"/>
        <item x="7"/>
        <item x="84"/>
        <item x="98"/>
        <item x="180"/>
        <item x="148"/>
        <item x="3"/>
        <item x="106"/>
        <item x="45"/>
        <item x="153"/>
        <item x="77"/>
        <item x="4"/>
        <item x="43"/>
        <item x="93"/>
        <item x="90"/>
        <item x="27"/>
        <item x="110"/>
        <item x="15"/>
        <item x="22"/>
        <item x="167"/>
        <item x="25"/>
        <item x="60"/>
        <item x="205"/>
        <item x="179"/>
        <item x="175"/>
        <item x="131"/>
        <item x="181"/>
        <item x="48"/>
        <item x="29"/>
        <item x="83"/>
        <item x="11"/>
        <item x="52"/>
        <item x="70"/>
        <item x="194"/>
        <item x="64"/>
        <item x="147"/>
        <item x="123"/>
        <item x="73"/>
        <item x="113"/>
        <item x="192"/>
        <item x="199"/>
        <item x="120"/>
        <item x="142"/>
        <item x="169"/>
        <item x="16"/>
        <item x="145"/>
        <item x="156"/>
        <item x="71"/>
        <item x="146"/>
        <item x="19"/>
        <item x="107"/>
        <item x="186"/>
        <item x="191"/>
        <item x="158"/>
        <item x="76"/>
        <item x="173"/>
        <item x="68"/>
        <item x="75"/>
        <item x="31"/>
        <item x="28"/>
        <item x="20"/>
        <item x="129"/>
        <item x="36"/>
        <item x="82"/>
        <item x="212"/>
        <item x="1"/>
        <item x="30"/>
        <item x="2"/>
        <item x="47"/>
        <item x="193"/>
        <item x="96"/>
        <item x="210"/>
        <item x="206"/>
        <item x="44"/>
        <item x="164"/>
        <item x="102"/>
        <item x="94"/>
        <item x="32"/>
        <item x="67"/>
        <item x="183"/>
        <item x="187"/>
        <item x="3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axis="axisRow" compact="0" showAll="0">
      <items count="7">
        <item x="1"/>
        <item x="0"/>
        <item x="4"/>
        <item x="3"/>
        <item x="5"/>
        <item x="2"/>
        <item t="default"/>
      </items>
    </pivotField>
    <pivotField compact="0" showAll="0">
      <items count="9">
        <item x="3"/>
        <item x="1"/>
        <item x="2"/>
        <item x="5"/>
        <item x="7"/>
        <item x="4"/>
        <item x="0"/>
        <item x="6"/>
        <item t="default"/>
      </items>
    </pivotField>
    <pivotField compact="0" showAll="0">
      <items count="45">
        <item x="43"/>
        <item x="40"/>
        <item x="41"/>
        <item x="27"/>
        <item x="42"/>
        <item x="35"/>
        <item x="34"/>
        <item x="38"/>
        <item x="33"/>
        <item x="26"/>
        <item x="23"/>
        <item x="7"/>
        <item x="29"/>
        <item x="14"/>
        <item x="18"/>
        <item x="9"/>
        <item x="28"/>
        <item x="5"/>
        <item x="20"/>
        <item x="10"/>
        <item x="25"/>
        <item x="2"/>
        <item x="19"/>
        <item x="3"/>
        <item x="6"/>
        <item x="31"/>
        <item x="11"/>
        <item x="4"/>
        <item x="12"/>
        <item x="1"/>
        <item x="30"/>
        <item x="17"/>
        <item x="8"/>
        <item x="0"/>
        <item x="21"/>
        <item x="15"/>
        <item x="36"/>
        <item x="39"/>
        <item x="22"/>
        <item x="13"/>
        <item x="37"/>
        <item x="24"/>
        <item x="32"/>
        <item x="16"/>
        <item t="default"/>
      </items>
    </pivotField>
    <pivotField compact="0" showAll="0">
      <items count="67">
        <item x="0"/>
        <item x="27"/>
        <item x="56"/>
        <item x="30"/>
        <item x="53"/>
        <item x="42"/>
        <item x="52"/>
        <item x="46"/>
        <item x="41"/>
        <item x="5"/>
        <item x="57"/>
        <item x="33"/>
        <item x="16"/>
        <item x="20"/>
        <item x="50"/>
        <item x="1"/>
        <item x="47"/>
        <item x="17"/>
        <item x="6"/>
        <item x="54"/>
        <item x="40"/>
        <item x="49"/>
        <item x="7"/>
        <item x="35"/>
        <item x="32"/>
        <item x="26"/>
        <item x="11"/>
        <item x="31"/>
        <item x="15"/>
        <item x="9"/>
        <item x="34"/>
        <item x="22"/>
        <item x="12"/>
        <item x="10"/>
        <item x="44"/>
        <item x="18"/>
        <item x="2"/>
        <item x="25"/>
        <item x="3"/>
        <item x="8"/>
        <item x="36"/>
        <item x="28"/>
        <item x="37"/>
        <item x="4"/>
        <item x="55"/>
        <item x="43"/>
        <item x="19"/>
        <item x="58"/>
        <item x="23"/>
        <item x="14"/>
        <item x="38"/>
        <item x="29"/>
        <item x="21"/>
        <item x="39"/>
        <item x="13"/>
        <item x="51"/>
        <item x="48"/>
        <item x="24"/>
        <item x="61"/>
        <item x="60"/>
        <item x="63"/>
        <item x="65"/>
        <item x="59"/>
        <item x="45"/>
        <item x="64"/>
        <item x="62"/>
        <item t="default"/>
      </items>
    </pivotField>
    <pivotField compact="0" showAll="0">
      <items count="68">
        <item x="40"/>
        <item x="52"/>
        <item x="62"/>
        <item x="27"/>
        <item x="63"/>
        <item x="53"/>
        <item x="31"/>
        <item x="26"/>
        <item x="49"/>
        <item x="18"/>
        <item x="6"/>
        <item x="36"/>
        <item x="48"/>
        <item x="47"/>
        <item x="34"/>
        <item x="59"/>
        <item x="0"/>
        <item x="8"/>
        <item x="33"/>
        <item x="43"/>
        <item x="54"/>
        <item x="35"/>
        <item x="46"/>
        <item x="5"/>
        <item x="1"/>
        <item x="7"/>
        <item x="12"/>
        <item x="3"/>
        <item x="13"/>
        <item x="9"/>
        <item x="17"/>
        <item x="23"/>
        <item x="44"/>
        <item x="32"/>
        <item x="20"/>
        <item x="28"/>
        <item x="21"/>
        <item x="19"/>
        <item x="10"/>
        <item x="42"/>
        <item x="4"/>
        <item x="2"/>
        <item x="15"/>
        <item x="30"/>
        <item x="22"/>
        <item x="14"/>
        <item x="39"/>
        <item x="50"/>
        <item x="16"/>
        <item x="57"/>
        <item x="45"/>
        <item x="58"/>
        <item x="37"/>
        <item x="60"/>
        <item x="24"/>
        <item x="11"/>
        <item x="51"/>
        <item x="61"/>
        <item x="56"/>
        <item x="55"/>
        <item x="25"/>
        <item x="29"/>
        <item x="41"/>
        <item x="64"/>
        <item x="38"/>
        <item x="65"/>
        <item x="66"/>
        <item t="default"/>
      </items>
    </pivotField>
    <pivotField compact="0" showAll="0">
      <items count="63">
        <item x="26"/>
        <item x="52"/>
        <item x="39"/>
        <item x="50"/>
        <item x="49"/>
        <item x="29"/>
        <item x="31"/>
        <item x="42"/>
        <item x="0"/>
        <item x="38"/>
        <item x="33"/>
        <item x="59"/>
        <item x="27"/>
        <item x="55"/>
        <item x="7"/>
        <item x="48"/>
        <item x="30"/>
        <item x="6"/>
        <item x="54"/>
        <item x="8"/>
        <item x="18"/>
        <item x="16"/>
        <item x="20"/>
        <item x="5"/>
        <item x="3"/>
        <item x="35"/>
        <item x="19"/>
        <item x="21"/>
        <item x="47"/>
        <item x="24"/>
        <item x="23"/>
        <item x="14"/>
        <item x="11"/>
        <item x="10"/>
        <item x="25"/>
        <item x="1"/>
        <item x="12"/>
        <item x="32"/>
        <item x="2"/>
        <item x="4"/>
        <item x="34"/>
        <item x="17"/>
        <item x="40"/>
        <item x="36"/>
        <item x="15"/>
        <item x="46"/>
        <item x="51"/>
        <item x="22"/>
        <item x="44"/>
        <item x="53"/>
        <item x="41"/>
        <item x="37"/>
        <item x="43"/>
        <item x="13"/>
        <item x="58"/>
        <item x="61"/>
        <item x="56"/>
        <item x="28"/>
        <item x="9"/>
        <item x="60"/>
        <item x="45"/>
        <item x="57"/>
        <item t="default"/>
      </items>
    </pivotField>
    <pivotField compact="0" showAll="0">
      <items count="66">
        <item x="42"/>
        <item x="64"/>
        <item x="58"/>
        <item x="48"/>
        <item x="34"/>
        <item x="55"/>
        <item x="39"/>
        <item x="57"/>
        <item x="41"/>
        <item x="19"/>
        <item x="44"/>
        <item x="56"/>
        <item x="31"/>
        <item x="15"/>
        <item x="29"/>
        <item x="0"/>
        <item x="21"/>
        <item x="52"/>
        <item x="5"/>
        <item x="6"/>
        <item x="30"/>
        <item x="35"/>
        <item x="22"/>
        <item x="46"/>
        <item x="32"/>
        <item x="50"/>
        <item x="3"/>
        <item x="37"/>
        <item x="7"/>
        <item x="10"/>
        <item x="4"/>
        <item x="1"/>
        <item x="14"/>
        <item x="16"/>
        <item x="26"/>
        <item x="25"/>
        <item x="33"/>
        <item x="12"/>
        <item x="17"/>
        <item x="38"/>
        <item x="8"/>
        <item x="23"/>
        <item x="9"/>
        <item x="13"/>
        <item x="28"/>
        <item x="59"/>
        <item x="47"/>
        <item x="18"/>
        <item x="20"/>
        <item x="51"/>
        <item x="49"/>
        <item x="62"/>
        <item x="11"/>
        <item x="40"/>
        <item x="43"/>
        <item x="2"/>
        <item x="54"/>
        <item x="61"/>
        <item x="27"/>
        <item x="53"/>
        <item x="45"/>
        <item x="63"/>
        <item x="60"/>
        <item x="36"/>
        <item x="24"/>
        <item t="default"/>
      </items>
    </pivotField>
    <pivotField compact="0" showAll="0">
      <items count="65">
        <item x="53"/>
        <item x="59"/>
        <item x="57"/>
        <item x="58"/>
        <item x="52"/>
        <item x="55"/>
        <item x="51"/>
        <item x="0"/>
        <item x="47"/>
        <item x="36"/>
        <item x="34"/>
        <item x="45"/>
        <item x="39"/>
        <item x="28"/>
        <item x="31"/>
        <item x="35"/>
        <item x="3"/>
        <item x="46"/>
        <item x="16"/>
        <item x="23"/>
        <item x="15"/>
        <item x="8"/>
        <item x="6"/>
        <item x="7"/>
        <item x="10"/>
        <item x="25"/>
        <item x="37"/>
        <item x="19"/>
        <item x="27"/>
        <item x="1"/>
        <item x="5"/>
        <item x="33"/>
        <item x="17"/>
        <item x="42"/>
        <item x="2"/>
        <item x="4"/>
        <item x="9"/>
        <item x="14"/>
        <item x="29"/>
        <item x="40"/>
        <item x="22"/>
        <item x="30"/>
        <item x="18"/>
        <item x="11"/>
        <item x="21"/>
        <item x="24"/>
        <item x="13"/>
        <item x="49"/>
        <item x="43"/>
        <item x="44"/>
        <item x="20"/>
        <item x="38"/>
        <item x="12"/>
        <item x="56"/>
        <item x="26"/>
        <item x="54"/>
        <item x="48"/>
        <item x="32"/>
        <item x="41"/>
        <item x="61"/>
        <item x="60"/>
        <item x="63"/>
        <item x="62"/>
        <item x="50"/>
        <item t="default"/>
      </items>
    </pivotField>
    <pivotField compact="0" showAll="0">
      <items count="67">
        <item x="46"/>
        <item x="64"/>
        <item x="56"/>
        <item x="26"/>
        <item x="30"/>
        <item x="59"/>
        <item x="44"/>
        <item x="38"/>
        <item x="31"/>
        <item x="51"/>
        <item x="60"/>
        <item x="22"/>
        <item x="62"/>
        <item x="5"/>
        <item x="34"/>
        <item x="8"/>
        <item x="28"/>
        <item x="48"/>
        <item x="9"/>
        <item x="37"/>
        <item x="42"/>
        <item x="0"/>
        <item x="13"/>
        <item x="3"/>
        <item x="16"/>
        <item x="1"/>
        <item x="24"/>
        <item x="6"/>
        <item x="12"/>
        <item x="36"/>
        <item x="19"/>
        <item x="4"/>
        <item x="7"/>
        <item x="2"/>
        <item x="11"/>
        <item x="10"/>
        <item x="17"/>
        <item x="50"/>
        <item x="23"/>
        <item x="41"/>
        <item x="21"/>
        <item x="29"/>
        <item x="35"/>
        <item x="39"/>
        <item x="20"/>
        <item x="43"/>
        <item x="53"/>
        <item x="54"/>
        <item x="40"/>
        <item x="47"/>
        <item x="15"/>
        <item x="45"/>
        <item x="18"/>
        <item x="32"/>
        <item x="58"/>
        <item x="14"/>
        <item x="57"/>
        <item x="49"/>
        <item x="33"/>
        <item x="27"/>
        <item x="63"/>
        <item x="25"/>
        <item x="61"/>
        <item x="52"/>
        <item x="65"/>
        <item x="55"/>
        <item t="default"/>
      </items>
    </pivotField>
    <pivotField compact="0" showAll="0">
      <items count="206">
        <item x="135"/>
        <item x="145"/>
        <item x="67"/>
        <item x="96"/>
        <item x="192"/>
        <item x="34"/>
        <item x="176"/>
        <item x="88"/>
        <item x="101"/>
        <item x="184"/>
        <item x="62"/>
        <item x="109"/>
        <item x="114"/>
        <item x="39"/>
        <item x="53"/>
        <item x="79"/>
        <item x="144"/>
        <item x="123"/>
        <item x="0"/>
        <item x="47"/>
        <item x="44"/>
        <item x="159"/>
        <item x="84"/>
        <item x="115"/>
        <item x="50"/>
        <item x="165"/>
        <item x="173"/>
        <item x="6"/>
        <item x="80"/>
        <item x="98"/>
        <item x="182"/>
        <item x="174"/>
        <item x="20"/>
        <item x="41"/>
        <item x="177"/>
        <item x="175"/>
        <item x="93"/>
        <item x="55"/>
        <item x="172"/>
        <item x="112"/>
        <item x="126"/>
        <item x="140"/>
        <item x="161"/>
        <item x="118"/>
        <item x="186"/>
        <item x="8"/>
        <item x="108"/>
        <item x="100"/>
        <item x="113"/>
        <item x="156"/>
        <item x="90"/>
        <item x="66"/>
        <item x="32"/>
        <item x="82"/>
        <item x="139"/>
        <item x="73"/>
        <item x="168"/>
        <item x="122"/>
        <item x="3"/>
        <item x="103"/>
        <item x="133"/>
        <item x="61"/>
        <item x="7"/>
        <item x="110"/>
        <item x="83"/>
        <item x="150"/>
        <item x="63"/>
        <item x="27"/>
        <item x="149"/>
        <item x="9"/>
        <item x="180"/>
        <item x="170"/>
        <item x="195"/>
        <item x="36"/>
        <item x="143"/>
        <item x="15"/>
        <item x="10"/>
        <item x="24"/>
        <item x="148"/>
        <item x="5"/>
        <item x="107"/>
        <item x="138"/>
        <item x="40"/>
        <item x="28"/>
        <item x="87"/>
        <item x="31"/>
        <item x="1"/>
        <item x="162"/>
        <item x="65"/>
        <item x="190"/>
        <item x="111"/>
        <item x="19"/>
        <item x="30"/>
        <item x="129"/>
        <item x="77"/>
        <item x="25"/>
        <item x="21"/>
        <item x="71"/>
        <item x="154"/>
        <item x="74"/>
        <item x="49"/>
        <item x="14"/>
        <item x="13"/>
        <item x="166"/>
        <item x="75"/>
        <item x="42"/>
        <item x="124"/>
        <item x="204"/>
        <item x="46"/>
        <item x="105"/>
        <item x="68"/>
        <item x="35"/>
        <item x="85"/>
        <item x="76"/>
        <item x="4"/>
        <item x="102"/>
        <item x="187"/>
        <item x="54"/>
        <item x="120"/>
        <item x="60"/>
        <item x="51"/>
        <item x="29"/>
        <item x="18"/>
        <item x="152"/>
        <item x="94"/>
        <item x="37"/>
        <item x="23"/>
        <item x="22"/>
        <item x="92"/>
        <item x="45"/>
        <item x="33"/>
        <item x="72"/>
        <item x="183"/>
        <item x="57"/>
        <item x="48"/>
        <item x="11"/>
        <item x="128"/>
        <item x="56"/>
        <item x="116"/>
        <item x="2"/>
        <item x="146"/>
        <item x="141"/>
        <item x="70"/>
        <item x="89"/>
        <item x="12"/>
        <item x="64"/>
        <item x="97"/>
        <item x="117"/>
        <item x="164"/>
        <item x="163"/>
        <item x="136"/>
        <item x="81"/>
        <item x="119"/>
        <item x="155"/>
        <item x="95"/>
        <item x="157"/>
        <item x="121"/>
        <item x="17"/>
        <item x="171"/>
        <item x="99"/>
        <item x="142"/>
        <item x="106"/>
        <item x="153"/>
        <item x="188"/>
        <item x="131"/>
        <item x="169"/>
        <item x="151"/>
        <item x="196"/>
        <item x="78"/>
        <item x="58"/>
        <item x="16"/>
        <item x="52"/>
        <item x="137"/>
        <item x="104"/>
        <item x="130"/>
        <item x="43"/>
        <item x="127"/>
        <item x="200"/>
        <item x="160"/>
        <item x="201"/>
        <item x="167"/>
        <item x="26"/>
        <item x="197"/>
        <item x="198"/>
        <item x="203"/>
        <item x="125"/>
        <item x="189"/>
        <item x="69"/>
        <item x="178"/>
        <item x="86"/>
        <item x="179"/>
        <item x="191"/>
        <item x="199"/>
        <item x="134"/>
        <item x="193"/>
        <item x="185"/>
        <item x="91"/>
        <item x="147"/>
        <item x="181"/>
        <item x="59"/>
        <item x="132"/>
        <item x="158"/>
        <item x="194"/>
        <item x="38"/>
        <item x="202"/>
        <item t="default"/>
      </items>
    </pivotField>
    <pivotField dataField="1" compact="0" numFmtId="180" showAll="0">
      <items count="206">
        <item x="135"/>
        <item x="145"/>
        <item x="67"/>
        <item x="96"/>
        <item x="192"/>
        <item x="34"/>
        <item x="176"/>
        <item x="88"/>
        <item x="101"/>
        <item x="184"/>
        <item x="62"/>
        <item x="109"/>
        <item x="114"/>
        <item x="39"/>
        <item x="53"/>
        <item x="79"/>
        <item x="144"/>
        <item x="123"/>
        <item x="0"/>
        <item x="47"/>
        <item x="44"/>
        <item x="159"/>
        <item x="84"/>
        <item x="115"/>
        <item x="50"/>
        <item x="165"/>
        <item x="173"/>
        <item x="6"/>
        <item x="80"/>
        <item x="98"/>
        <item x="182"/>
        <item x="174"/>
        <item x="20"/>
        <item x="41"/>
        <item x="177"/>
        <item x="175"/>
        <item x="93"/>
        <item x="55"/>
        <item x="172"/>
        <item x="112"/>
        <item x="126"/>
        <item x="140"/>
        <item x="161"/>
        <item x="118"/>
        <item x="186"/>
        <item x="8"/>
        <item x="108"/>
        <item x="100"/>
        <item x="113"/>
        <item x="156"/>
        <item x="90"/>
        <item x="66"/>
        <item x="32"/>
        <item x="82"/>
        <item x="139"/>
        <item x="73"/>
        <item x="168"/>
        <item x="122"/>
        <item x="3"/>
        <item x="103"/>
        <item x="133"/>
        <item x="61"/>
        <item x="7"/>
        <item x="110"/>
        <item x="83"/>
        <item x="150"/>
        <item x="63"/>
        <item x="27"/>
        <item x="149"/>
        <item x="9"/>
        <item x="180"/>
        <item x="170"/>
        <item x="195"/>
        <item x="36"/>
        <item x="143"/>
        <item x="15"/>
        <item x="10"/>
        <item x="24"/>
        <item x="148"/>
        <item x="5"/>
        <item x="107"/>
        <item x="138"/>
        <item x="40"/>
        <item x="28"/>
        <item x="87"/>
        <item x="31"/>
        <item x="1"/>
        <item x="162"/>
        <item x="65"/>
        <item x="190"/>
        <item x="111"/>
        <item x="19"/>
        <item x="30"/>
        <item x="129"/>
        <item x="77"/>
        <item x="25"/>
        <item x="21"/>
        <item x="71"/>
        <item x="154"/>
        <item x="74"/>
        <item x="49"/>
        <item x="14"/>
        <item x="13"/>
        <item x="166"/>
        <item x="75"/>
        <item x="42"/>
        <item x="124"/>
        <item x="204"/>
        <item x="46"/>
        <item x="105"/>
        <item x="68"/>
        <item x="35"/>
        <item x="85"/>
        <item x="76"/>
        <item x="4"/>
        <item x="102"/>
        <item x="187"/>
        <item x="54"/>
        <item x="120"/>
        <item x="60"/>
        <item x="51"/>
        <item x="29"/>
        <item x="18"/>
        <item x="152"/>
        <item x="94"/>
        <item x="37"/>
        <item x="23"/>
        <item x="22"/>
        <item x="92"/>
        <item x="45"/>
        <item x="33"/>
        <item x="72"/>
        <item x="183"/>
        <item x="57"/>
        <item x="48"/>
        <item x="11"/>
        <item x="128"/>
        <item x="56"/>
        <item x="116"/>
        <item x="2"/>
        <item x="146"/>
        <item x="141"/>
        <item x="70"/>
        <item x="89"/>
        <item x="12"/>
        <item x="64"/>
        <item x="97"/>
        <item x="117"/>
        <item x="164"/>
        <item x="163"/>
        <item x="136"/>
        <item x="81"/>
        <item x="119"/>
        <item x="155"/>
        <item x="95"/>
        <item x="157"/>
        <item x="121"/>
        <item x="17"/>
        <item x="171"/>
        <item x="99"/>
        <item x="142"/>
        <item x="106"/>
        <item x="153"/>
        <item x="188"/>
        <item x="131"/>
        <item x="169"/>
        <item x="151"/>
        <item x="196"/>
        <item x="78"/>
        <item x="58"/>
        <item x="16"/>
        <item x="52"/>
        <item x="137"/>
        <item x="104"/>
        <item x="130"/>
        <item x="43"/>
        <item x="127"/>
        <item x="200"/>
        <item x="160"/>
        <item x="201"/>
        <item x="167"/>
        <item x="26"/>
        <item x="197"/>
        <item x="198"/>
        <item x="203"/>
        <item x="125"/>
        <item x="189"/>
        <item x="69"/>
        <item x="178"/>
        <item x="86"/>
        <item x="179"/>
        <item x="191"/>
        <item x="199"/>
        <item x="134"/>
        <item x="193"/>
        <item x="185"/>
        <item x="91"/>
        <item x="147"/>
        <item x="181"/>
        <item x="59"/>
        <item x="132"/>
        <item x="158"/>
        <item x="194"/>
        <item x="38"/>
        <item x="20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erage_Marks" fld="1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31:J38" firstHeaderRow="1" firstDataRow="1" firstDataCol="1"/>
  <pivotFields count="17">
    <pivotField compact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showAll="0">
      <items count="215">
        <item x="189"/>
        <item x="137"/>
        <item x="125"/>
        <item x="53"/>
        <item x="211"/>
        <item x="6"/>
        <item x="108"/>
        <item x="88"/>
        <item x="59"/>
        <item x="182"/>
        <item x="134"/>
        <item x="5"/>
        <item x="24"/>
        <item x="55"/>
        <item x="104"/>
        <item x="38"/>
        <item x="23"/>
        <item x="165"/>
        <item x="162"/>
        <item x="135"/>
        <item x="166"/>
        <item x="136"/>
        <item x="184"/>
        <item x="101"/>
        <item x="65"/>
        <item x="50"/>
        <item x="57"/>
        <item x="132"/>
        <item x="99"/>
        <item x="63"/>
        <item x="97"/>
        <item x="72"/>
        <item x="151"/>
        <item x="139"/>
        <item x="198"/>
        <item x="79"/>
        <item x="128"/>
        <item x="124"/>
        <item x="74"/>
        <item x="188"/>
        <item x="201"/>
        <item x="41"/>
        <item x="200"/>
        <item x="161"/>
        <item x="80"/>
        <item x="152"/>
        <item x="126"/>
        <item x="86"/>
        <item x="51"/>
        <item x="91"/>
        <item x="12"/>
        <item x="159"/>
        <item x="190"/>
        <item x="8"/>
        <item x="154"/>
        <item x="195"/>
        <item x="144"/>
        <item x="95"/>
        <item x="122"/>
        <item x="197"/>
        <item x="196"/>
        <item x="177"/>
        <item x="174"/>
        <item x="141"/>
        <item x="171"/>
        <item x="87"/>
        <item x="18"/>
        <item x="208"/>
        <item x="66"/>
        <item x="185"/>
        <item x="160"/>
        <item x="209"/>
        <item x="37"/>
        <item x="143"/>
        <item x="111"/>
        <item x="140"/>
        <item x="127"/>
        <item x="178"/>
        <item x="42"/>
        <item x="207"/>
        <item x="105"/>
        <item x="119"/>
        <item x="100"/>
        <item x="138"/>
        <item x="170"/>
        <item x="85"/>
        <item x="21"/>
        <item x="56"/>
        <item x="69"/>
        <item x="117"/>
        <item x="103"/>
        <item x="17"/>
        <item x="13"/>
        <item x="81"/>
        <item x="92"/>
        <item x="213"/>
        <item x="9"/>
        <item x="62"/>
        <item x="78"/>
        <item x="202"/>
        <item x="49"/>
        <item x="116"/>
        <item x="163"/>
        <item x="130"/>
        <item x="14"/>
        <item x="155"/>
        <item x="40"/>
        <item x="121"/>
        <item x="204"/>
        <item x="203"/>
        <item x="157"/>
        <item x="34"/>
        <item x="26"/>
        <item x="168"/>
        <item x="118"/>
        <item x="39"/>
        <item x="89"/>
        <item x="109"/>
        <item x="172"/>
        <item x="112"/>
        <item x="10"/>
        <item x="58"/>
        <item x="149"/>
        <item x="115"/>
        <item x="33"/>
        <item x="150"/>
        <item x="133"/>
        <item x="0"/>
        <item x="61"/>
        <item x="176"/>
        <item x="54"/>
        <item x="114"/>
        <item x="46"/>
        <item x="7"/>
        <item x="84"/>
        <item x="98"/>
        <item x="180"/>
        <item x="148"/>
        <item x="3"/>
        <item x="106"/>
        <item x="45"/>
        <item x="153"/>
        <item x="77"/>
        <item x="4"/>
        <item x="43"/>
        <item x="93"/>
        <item x="90"/>
        <item x="27"/>
        <item x="110"/>
        <item x="15"/>
        <item x="22"/>
        <item x="167"/>
        <item x="25"/>
        <item x="60"/>
        <item x="205"/>
        <item x="179"/>
        <item x="175"/>
        <item x="131"/>
        <item x="181"/>
        <item x="48"/>
        <item x="29"/>
        <item x="83"/>
        <item x="11"/>
        <item x="52"/>
        <item x="70"/>
        <item x="194"/>
        <item x="64"/>
        <item x="147"/>
        <item x="123"/>
        <item x="73"/>
        <item x="113"/>
        <item x="192"/>
        <item x="199"/>
        <item x="120"/>
        <item x="142"/>
        <item x="169"/>
        <item x="16"/>
        <item x="145"/>
        <item x="156"/>
        <item x="71"/>
        <item x="146"/>
        <item x="19"/>
        <item x="107"/>
        <item x="186"/>
        <item x="191"/>
        <item x="158"/>
        <item x="76"/>
        <item x="173"/>
        <item x="68"/>
        <item x="75"/>
        <item x="31"/>
        <item x="28"/>
        <item x="20"/>
        <item x="129"/>
        <item x="36"/>
        <item x="82"/>
        <item x="212"/>
        <item x="1"/>
        <item x="30"/>
        <item x="2"/>
        <item x="47"/>
        <item x="193"/>
        <item x="96"/>
        <item x="210"/>
        <item x="206"/>
        <item x="44"/>
        <item x="164"/>
        <item x="102"/>
        <item x="94"/>
        <item x="32"/>
        <item x="67"/>
        <item x="183"/>
        <item x="187"/>
        <item x="3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axis="axisRow" compact="0" showAll="0">
      <items count="7">
        <item x="1"/>
        <item x="0"/>
        <item x="4"/>
        <item x="3"/>
        <item x="5"/>
        <item x="2"/>
        <item t="default"/>
      </items>
    </pivotField>
    <pivotField compact="0" showAll="0">
      <items count="9">
        <item x="3"/>
        <item x="1"/>
        <item x="2"/>
        <item x="5"/>
        <item x="7"/>
        <item x="4"/>
        <item x="0"/>
        <item x="6"/>
        <item t="default"/>
      </items>
    </pivotField>
    <pivotField compact="0" showAll="0">
      <items count="45">
        <item x="43"/>
        <item x="40"/>
        <item x="41"/>
        <item x="27"/>
        <item x="42"/>
        <item x="35"/>
        <item x="34"/>
        <item x="38"/>
        <item x="33"/>
        <item x="26"/>
        <item x="23"/>
        <item x="7"/>
        <item x="29"/>
        <item x="14"/>
        <item x="18"/>
        <item x="9"/>
        <item x="28"/>
        <item x="5"/>
        <item x="20"/>
        <item x="10"/>
        <item x="25"/>
        <item x="2"/>
        <item x="19"/>
        <item x="3"/>
        <item x="6"/>
        <item x="31"/>
        <item x="11"/>
        <item x="4"/>
        <item x="12"/>
        <item x="1"/>
        <item x="30"/>
        <item x="17"/>
        <item x="8"/>
        <item x="0"/>
        <item x="21"/>
        <item x="15"/>
        <item x="36"/>
        <item x="39"/>
        <item x="22"/>
        <item x="13"/>
        <item x="37"/>
        <item x="24"/>
        <item x="32"/>
        <item x="16"/>
        <item t="default"/>
      </items>
    </pivotField>
    <pivotField compact="0" showAll="0">
      <items count="67">
        <item x="0"/>
        <item x="27"/>
        <item x="56"/>
        <item x="30"/>
        <item x="53"/>
        <item x="42"/>
        <item x="52"/>
        <item x="46"/>
        <item x="41"/>
        <item x="5"/>
        <item x="57"/>
        <item x="33"/>
        <item x="16"/>
        <item x="20"/>
        <item x="50"/>
        <item x="1"/>
        <item x="47"/>
        <item x="17"/>
        <item x="6"/>
        <item x="54"/>
        <item x="40"/>
        <item x="49"/>
        <item x="7"/>
        <item x="35"/>
        <item x="32"/>
        <item x="26"/>
        <item x="11"/>
        <item x="31"/>
        <item x="15"/>
        <item x="9"/>
        <item x="34"/>
        <item x="22"/>
        <item x="12"/>
        <item x="10"/>
        <item x="44"/>
        <item x="18"/>
        <item x="2"/>
        <item x="25"/>
        <item x="3"/>
        <item x="8"/>
        <item x="36"/>
        <item x="28"/>
        <item x="37"/>
        <item x="4"/>
        <item x="55"/>
        <item x="43"/>
        <item x="19"/>
        <item x="58"/>
        <item x="23"/>
        <item x="14"/>
        <item x="38"/>
        <item x="29"/>
        <item x="21"/>
        <item x="39"/>
        <item x="13"/>
        <item x="51"/>
        <item x="48"/>
        <item x="24"/>
        <item x="61"/>
        <item x="60"/>
        <item x="63"/>
        <item x="65"/>
        <item x="59"/>
        <item x="45"/>
        <item x="64"/>
        <item x="62"/>
        <item t="default"/>
      </items>
    </pivotField>
    <pivotField compact="0" showAll="0">
      <items count="68">
        <item x="40"/>
        <item x="52"/>
        <item x="62"/>
        <item x="27"/>
        <item x="63"/>
        <item x="53"/>
        <item x="31"/>
        <item x="26"/>
        <item x="49"/>
        <item x="18"/>
        <item x="6"/>
        <item x="36"/>
        <item x="48"/>
        <item x="47"/>
        <item x="34"/>
        <item x="59"/>
        <item x="0"/>
        <item x="8"/>
        <item x="33"/>
        <item x="43"/>
        <item x="54"/>
        <item x="35"/>
        <item x="46"/>
        <item x="5"/>
        <item x="1"/>
        <item x="7"/>
        <item x="12"/>
        <item x="3"/>
        <item x="13"/>
        <item x="9"/>
        <item x="17"/>
        <item x="23"/>
        <item x="44"/>
        <item x="32"/>
        <item x="20"/>
        <item x="28"/>
        <item x="21"/>
        <item x="19"/>
        <item x="10"/>
        <item x="42"/>
        <item x="4"/>
        <item x="2"/>
        <item x="15"/>
        <item x="30"/>
        <item x="22"/>
        <item x="14"/>
        <item x="39"/>
        <item x="50"/>
        <item x="16"/>
        <item x="57"/>
        <item x="45"/>
        <item x="58"/>
        <item x="37"/>
        <item x="60"/>
        <item x="24"/>
        <item x="11"/>
        <item x="51"/>
        <item x="61"/>
        <item x="56"/>
        <item x="55"/>
        <item x="25"/>
        <item x="29"/>
        <item x="41"/>
        <item x="64"/>
        <item x="38"/>
        <item x="65"/>
        <item x="66"/>
        <item t="default"/>
      </items>
    </pivotField>
    <pivotField compact="0" showAll="0">
      <items count="63">
        <item x="26"/>
        <item x="52"/>
        <item x="39"/>
        <item x="50"/>
        <item x="49"/>
        <item x="29"/>
        <item x="31"/>
        <item x="42"/>
        <item x="0"/>
        <item x="38"/>
        <item x="33"/>
        <item x="59"/>
        <item x="27"/>
        <item x="55"/>
        <item x="7"/>
        <item x="48"/>
        <item x="30"/>
        <item x="6"/>
        <item x="54"/>
        <item x="8"/>
        <item x="18"/>
        <item x="16"/>
        <item x="20"/>
        <item x="5"/>
        <item x="3"/>
        <item x="35"/>
        <item x="19"/>
        <item x="21"/>
        <item x="47"/>
        <item x="24"/>
        <item x="23"/>
        <item x="14"/>
        <item x="11"/>
        <item x="10"/>
        <item x="25"/>
        <item x="1"/>
        <item x="12"/>
        <item x="32"/>
        <item x="2"/>
        <item x="4"/>
        <item x="34"/>
        <item x="17"/>
        <item x="40"/>
        <item x="36"/>
        <item x="15"/>
        <item x="46"/>
        <item x="51"/>
        <item x="22"/>
        <item x="44"/>
        <item x="53"/>
        <item x="41"/>
        <item x="37"/>
        <item x="43"/>
        <item x="13"/>
        <item x="58"/>
        <item x="61"/>
        <item x="56"/>
        <item x="28"/>
        <item x="9"/>
        <item x="60"/>
        <item x="45"/>
        <item x="57"/>
        <item t="default"/>
      </items>
    </pivotField>
    <pivotField compact="0" showAll="0">
      <items count="66">
        <item x="42"/>
        <item x="64"/>
        <item x="58"/>
        <item x="48"/>
        <item x="34"/>
        <item x="55"/>
        <item x="39"/>
        <item x="57"/>
        <item x="41"/>
        <item x="19"/>
        <item x="44"/>
        <item x="56"/>
        <item x="31"/>
        <item x="15"/>
        <item x="29"/>
        <item x="0"/>
        <item x="21"/>
        <item x="52"/>
        <item x="5"/>
        <item x="6"/>
        <item x="30"/>
        <item x="35"/>
        <item x="22"/>
        <item x="46"/>
        <item x="32"/>
        <item x="50"/>
        <item x="3"/>
        <item x="37"/>
        <item x="7"/>
        <item x="10"/>
        <item x="4"/>
        <item x="1"/>
        <item x="14"/>
        <item x="16"/>
        <item x="26"/>
        <item x="25"/>
        <item x="33"/>
        <item x="12"/>
        <item x="17"/>
        <item x="38"/>
        <item x="8"/>
        <item x="23"/>
        <item x="9"/>
        <item x="13"/>
        <item x="28"/>
        <item x="59"/>
        <item x="47"/>
        <item x="18"/>
        <item x="20"/>
        <item x="51"/>
        <item x="49"/>
        <item x="62"/>
        <item x="11"/>
        <item x="40"/>
        <item x="43"/>
        <item x="2"/>
        <item x="54"/>
        <item x="61"/>
        <item x="27"/>
        <item x="53"/>
        <item x="45"/>
        <item x="63"/>
        <item x="60"/>
        <item x="36"/>
        <item x="24"/>
        <item t="default"/>
      </items>
    </pivotField>
    <pivotField compact="0" showAll="0">
      <items count="65">
        <item x="53"/>
        <item x="59"/>
        <item x="57"/>
        <item x="58"/>
        <item x="52"/>
        <item x="55"/>
        <item x="51"/>
        <item x="0"/>
        <item x="47"/>
        <item x="36"/>
        <item x="34"/>
        <item x="45"/>
        <item x="39"/>
        <item x="28"/>
        <item x="31"/>
        <item x="35"/>
        <item x="3"/>
        <item x="46"/>
        <item x="16"/>
        <item x="23"/>
        <item x="15"/>
        <item x="8"/>
        <item x="6"/>
        <item x="7"/>
        <item x="10"/>
        <item x="25"/>
        <item x="37"/>
        <item x="19"/>
        <item x="27"/>
        <item x="1"/>
        <item x="5"/>
        <item x="33"/>
        <item x="17"/>
        <item x="42"/>
        <item x="2"/>
        <item x="4"/>
        <item x="9"/>
        <item x="14"/>
        <item x="29"/>
        <item x="40"/>
        <item x="22"/>
        <item x="30"/>
        <item x="18"/>
        <item x="11"/>
        <item x="21"/>
        <item x="24"/>
        <item x="13"/>
        <item x="49"/>
        <item x="43"/>
        <item x="44"/>
        <item x="20"/>
        <item x="38"/>
        <item x="12"/>
        <item x="56"/>
        <item x="26"/>
        <item x="54"/>
        <item x="48"/>
        <item x="32"/>
        <item x="41"/>
        <item x="61"/>
        <item x="60"/>
        <item x="63"/>
        <item x="62"/>
        <item x="50"/>
        <item t="default"/>
      </items>
    </pivotField>
    <pivotField compact="0" showAll="0">
      <items count="67">
        <item x="46"/>
        <item x="64"/>
        <item x="56"/>
        <item x="26"/>
        <item x="30"/>
        <item x="59"/>
        <item x="44"/>
        <item x="38"/>
        <item x="31"/>
        <item x="51"/>
        <item x="60"/>
        <item x="22"/>
        <item x="62"/>
        <item x="5"/>
        <item x="34"/>
        <item x="8"/>
        <item x="28"/>
        <item x="48"/>
        <item x="9"/>
        <item x="37"/>
        <item x="42"/>
        <item x="0"/>
        <item x="13"/>
        <item x="3"/>
        <item x="16"/>
        <item x="1"/>
        <item x="24"/>
        <item x="6"/>
        <item x="12"/>
        <item x="36"/>
        <item x="19"/>
        <item x="4"/>
        <item x="7"/>
        <item x="2"/>
        <item x="11"/>
        <item x="10"/>
        <item x="17"/>
        <item x="50"/>
        <item x="23"/>
        <item x="41"/>
        <item x="21"/>
        <item x="29"/>
        <item x="35"/>
        <item x="39"/>
        <item x="20"/>
        <item x="43"/>
        <item x="53"/>
        <item x="54"/>
        <item x="40"/>
        <item x="47"/>
        <item x="15"/>
        <item x="45"/>
        <item x="18"/>
        <item x="32"/>
        <item x="58"/>
        <item x="14"/>
        <item x="57"/>
        <item x="49"/>
        <item x="33"/>
        <item x="27"/>
        <item x="63"/>
        <item x="25"/>
        <item x="61"/>
        <item x="52"/>
        <item x="65"/>
        <item x="55"/>
        <item t="default"/>
      </items>
    </pivotField>
    <pivotField dataField="1" compact="0" showAll="0">
      <items count="206">
        <item x="135"/>
        <item x="145"/>
        <item x="67"/>
        <item x="96"/>
        <item x="192"/>
        <item x="34"/>
        <item x="176"/>
        <item x="88"/>
        <item x="101"/>
        <item x="184"/>
        <item x="62"/>
        <item x="109"/>
        <item x="114"/>
        <item x="39"/>
        <item x="53"/>
        <item x="79"/>
        <item x="144"/>
        <item x="123"/>
        <item x="0"/>
        <item x="47"/>
        <item x="44"/>
        <item x="159"/>
        <item x="84"/>
        <item x="115"/>
        <item x="50"/>
        <item x="165"/>
        <item x="173"/>
        <item x="6"/>
        <item x="80"/>
        <item x="98"/>
        <item x="182"/>
        <item x="174"/>
        <item x="20"/>
        <item x="41"/>
        <item x="177"/>
        <item x="175"/>
        <item x="93"/>
        <item x="55"/>
        <item x="172"/>
        <item x="112"/>
        <item x="126"/>
        <item x="140"/>
        <item x="161"/>
        <item x="118"/>
        <item x="186"/>
        <item x="8"/>
        <item x="108"/>
        <item x="100"/>
        <item x="113"/>
        <item x="156"/>
        <item x="90"/>
        <item x="66"/>
        <item x="32"/>
        <item x="82"/>
        <item x="139"/>
        <item x="73"/>
        <item x="168"/>
        <item x="122"/>
        <item x="3"/>
        <item x="103"/>
        <item x="133"/>
        <item x="61"/>
        <item x="7"/>
        <item x="110"/>
        <item x="83"/>
        <item x="150"/>
        <item x="63"/>
        <item x="27"/>
        <item x="149"/>
        <item x="9"/>
        <item x="180"/>
        <item x="170"/>
        <item x="195"/>
        <item x="36"/>
        <item x="143"/>
        <item x="15"/>
        <item x="10"/>
        <item x="24"/>
        <item x="148"/>
        <item x="5"/>
        <item x="107"/>
        <item x="138"/>
        <item x="40"/>
        <item x="28"/>
        <item x="87"/>
        <item x="31"/>
        <item x="1"/>
        <item x="162"/>
        <item x="65"/>
        <item x="190"/>
        <item x="111"/>
        <item x="19"/>
        <item x="30"/>
        <item x="129"/>
        <item x="77"/>
        <item x="25"/>
        <item x="21"/>
        <item x="71"/>
        <item x="154"/>
        <item x="74"/>
        <item x="49"/>
        <item x="14"/>
        <item x="13"/>
        <item x="166"/>
        <item x="75"/>
        <item x="42"/>
        <item x="124"/>
        <item x="204"/>
        <item x="46"/>
        <item x="105"/>
        <item x="68"/>
        <item x="35"/>
        <item x="85"/>
        <item x="76"/>
        <item x="4"/>
        <item x="102"/>
        <item x="187"/>
        <item x="54"/>
        <item x="120"/>
        <item x="60"/>
        <item x="51"/>
        <item x="29"/>
        <item x="18"/>
        <item x="152"/>
        <item x="94"/>
        <item x="37"/>
        <item x="23"/>
        <item x="22"/>
        <item x="92"/>
        <item x="45"/>
        <item x="33"/>
        <item x="72"/>
        <item x="183"/>
        <item x="57"/>
        <item x="48"/>
        <item x="11"/>
        <item x="128"/>
        <item x="56"/>
        <item x="116"/>
        <item x="2"/>
        <item x="146"/>
        <item x="141"/>
        <item x="70"/>
        <item x="89"/>
        <item x="12"/>
        <item x="64"/>
        <item x="97"/>
        <item x="117"/>
        <item x="164"/>
        <item x="163"/>
        <item x="136"/>
        <item x="81"/>
        <item x="119"/>
        <item x="155"/>
        <item x="95"/>
        <item x="157"/>
        <item x="121"/>
        <item x="17"/>
        <item x="171"/>
        <item x="99"/>
        <item x="142"/>
        <item x="106"/>
        <item x="153"/>
        <item x="188"/>
        <item x="131"/>
        <item x="169"/>
        <item x="151"/>
        <item x="196"/>
        <item x="78"/>
        <item x="58"/>
        <item x="16"/>
        <item x="52"/>
        <item x="137"/>
        <item x="104"/>
        <item x="130"/>
        <item x="43"/>
        <item x="127"/>
        <item x="200"/>
        <item x="160"/>
        <item x="201"/>
        <item x="167"/>
        <item x="26"/>
        <item x="197"/>
        <item x="198"/>
        <item x="203"/>
        <item x="125"/>
        <item x="189"/>
        <item x="69"/>
        <item x="178"/>
        <item x="86"/>
        <item x="179"/>
        <item x="191"/>
        <item x="199"/>
        <item x="134"/>
        <item x="193"/>
        <item x="185"/>
        <item x="91"/>
        <item x="147"/>
        <item x="181"/>
        <item x="59"/>
        <item x="132"/>
        <item x="158"/>
        <item x="194"/>
        <item x="38"/>
        <item x="202"/>
        <item t="default"/>
      </items>
    </pivotField>
    <pivotField compact="0" numFmtId="180" showAll="0">
      <items count="206">
        <item x="135"/>
        <item x="145"/>
        <item x="67"/>
        <item x="96"/>
        <item x="192"/>
        <item x="34"/>
        <item x="176"/>
        <item x="88"/>
        <item x="101"/>
        <item x="184"/>
        <item x="62"/>
        <item x="109"/>
        <item x="114"/>
        <item x="39"/>
        <item x="53"/>
        <item x="79"/>
        <item x="144"/>
        <item x="123"/>
        <item x="0"/>
        <item x="47"/>
        <item x="44"/>
        <item x="159"/>
        <item x="84"/>
        <item x="115"/>
        <item x="50"/>
        <item x="165"/>
        <item x="173"/>
        <item x="6"/>
        <item x="80"/>
        <item x="98"/>
        <item x="182"/>
        <item x="174"/>
        <item x="20"/>
        <item x="41"/>
        <item x="177"/>
        <item x="175"/>
        <item x="93"/>
        <item x="55"/>
        <item x="172"/>
        <item x="112"/>
        <item x="126"/>
        <item x="140"/>
        <item x="161"/>
        <item x="118"/>
        <item x="186"/>
        <item x="8"/>
        <item x="108"/>
        <item x="100"/>
        <item x="113"/>
        <item x="156"/>
        <item x="90"/>
        <item x="66"/>
        <item x="32"/>
        <item x="82"/>
        <item x="139"/>
        <item x="73"/>
        <item x="168"/>
        <item x="122"/>
        <item x="3"/>
        <item x="103"/>
        <item x="133"/>
        <item x="61"/>
        <item x="7"/>
        <item x="110"/>
        <item x="83"/>
        <item x="150"/>
        <item x="63"/>
        <item x="27"/>
        <item x="149"/>
        <item x="9"/>
        <item x="180"/>
        <item x="170"/>
        <item x="195"/>
        <item x="36"/>
        <item x="143"/>
        <item x="15"/>
        <item x="10"/>
        <item x="24"/>
        <item x="148"/>
        <item x="5"/>
        <item x="107"/>
        <item x="138"/>
        <item x="40"/>
        <item x="28"/>
        <item x="87"/>
        <item x="31"/>
        <item x="1"/>
        <item x="162"/>
        <item x="65"/>
        <item x="190"/>
        <item x="111"/>
        <item x="19"/>
        <item x="30"/>
        <item x="129"/>
        <item x="77"/>
        <item x="25"/>
        <item x="21"/>
        <item x="71"/>
        <item x="154"/>
        <item x="74"/>
        <item x="49"/>
        <item x="14"/>
        <item x="13"/>
        <item x="166"/>
        <item x="75"/>
        <item x="42"/>
        <item x="124"/>
        <item x="204"/>
        <item x="46"/>
        <item x="105"/>
        <item x="68"/>
        <item x="35"/>
        <item x="85"/>
        <item x="76"/>
        <item x="4"/>
        <item x="102"/>
        <item x="187"/>
        <item x="54"/>
        <item x="120"/>
        <item x="60"/>
        <item x="51"/>
        <item x="29"/>
        <item x="18"/>
        <item x="152"/>
        <item x="94"/>
        <item x="37"/>
        <item x="23"/>
        <item x="22"/>
        <item x="92"/>
        <item x="45"/>
        <item x="33"/>
        <item x="72"/>
        <item x="183"/>
        <item x="57"/>
        <item x="48"/>
        <item x="11"/>
        <item x="128"/>
        <item x="56"/>
        <item x="116"/>
        <item x="2"/>
        <item x="146"/>
        <item x="141"/>
        <item x="70"/>
        <item x="89"/>
        <item x="12"/>
        <item x="64"/>
        <item x="97"/>
        <item x="117"/>
        <item x="164"/>
        <item x="163"/>
        <item x="136"/>
        <item x="81"/>
        <item x="119"/>
        <item x="155"/>
        <item x="95"/>
        <item x="157"/>
        <item x="121"/>
        <item x="17"/>
        <item x="171"/>
        <item x="99"/>
        <item x="142"/>
        <item x="106"/>
        <item x="153"/>
        <item x="188"/>
        <item x="131"/>
        <item x="169"/>
        <item x="151"/>
        <item x="196"/>
        <item x="78"/>
        <item x="58"/>
        <item x="16"/>
        <item x="52"/>
        <item x="137"/>
        <item x="104"/>
        <item x="130"/>
        <item x="43"/>
        <item x="127"/>
        <item x="200"/>
        <item x="160"/>
        <item x="201"/>
        <item x="167"/>
        <item x="26"/>
        <item x="197"/>
        <item x="198"/>
        <item x="203"/>
        <item x="125"/>
        <item x="189"/>
        <item x="69"/>
        <item x="178"/>
        <item x="86"/>
        <item x="179"/>
        <item x="191"/>
        <item x="199"/>
        <item x="134"/>
        <item x="193"/>
        <item x="185"/>
        <item x="91"/>
        <item x="147"/>
        <item x="181"/>
        <item x="59"/>
        <item x="132"/>
        <item x="158"/>
        <item x="194"/>
        <item x="38"/>
        <item x="20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_Marks" fld="13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1" sourceName="Department">
  <pivotTables>
    <pivotTable tabId="3" name="PivotTable3"/>
    <pivotTable tabId="3" name="PivotTable1"/>
    <pivotTable tabId="3" name="PivotTable2"/>
    <pivotTable tabId="3" name="PivotTable4"/>
  </pivotTables>
  <data>
    <tabular pivotCacheId="1">
      <items count="6">
        <i x="1" s="1"/>
        <i x="0" s="1"/>
        <i x="4" s="1"/>
        <i x="3" s="1"/>
        <i x="5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2" sourceName="City">
  <pivotTables>
    <pivotTable tabId="3" name="PivotTable3"/>
    <pivotTable tabId="3" name="PivotTable1"/>
    <pivotTable tabId="3" name="PivotTable2"/>
    <pivotTable tabId="3" name="PivotTable4"/>
  </pivotTables>
  <data>
    <tabular pivotCacheId="1">
      <items count="8">
        <i x="3" s="1"/>
        <i x="1" s="1"/>
        <i x="2" s="1"/>
        <i x="5" s="1"/>
        <i x="7" s="1"/>
        <i x="4" s="1"/>
        <i x="0" s="1"/>
        <i x="6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1" cache="Slicer_Department1" caption="Department" style="SlicerStyleDark1" rowHeight="225425"/>
  <slicer name="City 2" cache="Slicer_City2" caption="City" style="SlicerStyleDark1" rowHeight="225425"/>
</slicers>
</file>

<file path=xl/tables/table1.xml><?xml version="1.0" encoding="utf-8"?>
<table xmlns="http://schemas.openxmlformats.org/spreadsheetml/2006/main" id="2" name="Table2" displayName="Table2" ref="A1:Q601" totalsRowShown="0">
  <autoFilter xmlns:etc="http://www.wps.cn/officeDocument/2017/etCustomData" ref="A1:Q601" etc:filterBottomFollowUsedRange="0"/>
  <tableColumns count="17">
    <tableColumn id="1" name="Student_ID" dataDxfId="0"/>
    <tableColumn id="2" name="Name" dataDxfId="1"/>
    <tableColumn id="3" name="Gender" dataDxfId="2"/>
    <tableColumn id="4" name="Age" dataDxfId="3"/>
    <tableColumn id="5" name="Department" dataDxfId="4"/>
    <tableColumn id="6" name="City" dataDxfId="5"/>
    <tableColumn id="7" name="Attendance_Percentage" dataDxfId="6"/>
    <tableColumn id="8" name="Study_Hours" dataDxfId="7"/>
    <tableColumn id="9" name="Math_Marks" dataDxfId="8"/>
    <tableColumn id="10" name="Science_Marks" dataDxfId="9"/>
    <tableColumn id="11" name="English_Marks" dataDxfId="10"/>
    <tableColumn id="12" name="Computer_Marks" dataDxfId="11"/>
    <tableColumn id="13" name="Social_Marks" dataDxfId="12"/>
    <tableColumn id="14" name="Total_Marks" dataDxfId="13">
      <calculatedColumnFormula>SUM(I2:M2)</calculatedColumnFormula>
    </tableColumn>
    <tableColumn id="15" name="Average_Marks" dataDxfId="14">
      <calculatedColumnFormula>AVERAGE(N2/5)</calculatedColumnFormula>
    </tableColumn>
    <tableColumn id="16" name="Top_Performer" dataDxfId="15">
      <calculatedColumnFormula>IF(N2&gt;=400,"TopPerformer","Improvement")</calculatedColumnFormula>
    </tableColumn>
    <tableColumn id="17" name="Grade" dataDxfId="16">
      <calculatedColumnFormula>IF(N2&gt;=400,"Excellent",IF(N2&gt;=300,"Good",IF(N2&gt;=200,"Bad","Very Bad")))</calculatedColumnFormula>
    </tableColumn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1"/>
  <sheetViews>
    <sheetView zoomScale="82" zoomScaleNormal="82" workbookViewId="0">
      <selection activeCell="G2" sqref="G2"/>
    </sheetView>
  </sheetViews>
  <sheetFormatPr defaultColWidth="9.14285714285714" defaultRowHeight="15"/>
  <cols>
    <col min="1" max="1" width="15.6761904761905" customWidth="1"/>
    <col min="2" max="2" width="20.552380952381" customWidth="1"/>
    <col min="3" max="3" width="11.6761904761905" customWidth="1"/>
    <col min="4" max="4" width="10.9714285714286" customWidth="1"/>
    <col min="5" max="5" width="24.552380952381" customWidth="1"/>
    <col min="6" max="6" width="15.847619047619" customWidth="1"/>
    <col min="7" max="7" width="25.6" customWidth="1"/>
    <col min="8" max="8" width="16.5428571428571" customWidth="1"/>
    <col min="9" max="9" width="16.9047619047619" customWidth="1"/>
    <col min="10" max="10" width="18.2857142857143" customWidth="1"/>
    <col min="11" max="11" width="19.847619047619" customWidth="1"/>
    <col min="12" max="12" width="21.4190476190476" customWidth="1"/>
    <col min="13" max="13" width="18.6285714285714" customWidth="1"/>
    <col min="14" max="14" width="15.4952380952381" customWidth="1"/>
    <col min="15" max="15" width="17.7714285714286" customWidth="1"/>
    <col min="16" max="16" width="17.247619047619" customWidth="1"/>
  </cols>
  <sheetData>
    <row r="1" spans="1:2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0">
      <c r="A2" s="11" t="s">
        <v>17</v>
      </c>
      <c r="B2" s="11" t="s">
        <v>18</v>
      </c>
      <c r="C2" s="11" t="s">
        <v>19</v>
      </c>
      <c r="D2" s="11">
        <v>20</v>
      </c>
      <c r="E2" s="11" t="s">
        <v>20</v>
      </c>
      <c r="F2" s="11" t="s">
        <v>21</v>
      </c>
      <c r="G2" s="11">
        <v>90</v>
      </c>
      <c r="H2" s="11">
        <v>1</v>
      </c>
      <c r="I2" s="11">
        <v>47</v>
      </c>
      <c r="J2" s="11">
        <v>43</v>
      </c>
      <c r="K2" s="11">
        <v>46</v>
      </c>
      <c r="L2" s="11">
        <v>39</v>
      </c>
      <c r="M2" s="11">
        <v>53</v>
      </c>
      <c r="N2" s="12">
        <f t="shared" ref="N2:N65" si="0">SUM(I2:M2)</f>
        <v>228</v>
      </c>
      <c r="O2" s="13">
        <f t="shared" ref="O2:O65" si="1">AVERAGE(N2/5)</f>
        <v>45.6</v>
      </c>
      <c r="P2" s="12" t="str">
        <f t="shared" ref="P2:P65" si="2">IF(N2&gt;=400,"TopPerformer","Improvement")</f>
        <v>Improvement</v>
      </c>
      <c r="Q2" s="14" t="str">
        <f t="shared" ref="Q2:Q65" si="3">IF(N2&gt;=400,"Excellent",IF(N2&gt;=300,"Good",IF(N2&gt;=200,"Bad","Very Bad")))</f>
        <v>Bad</v>
      </c>
    </row>
    <row r="3" spans="1:20">
      <c r="A3" s="11" t="s">
        <v>22</v>
      </c>
      <c r="B3" s="11" t="s">
        <v>23</v>
      </c>
      <c r="C3" s="11" t="s">
        <v>19</v>
      </c>
      <c r="D3" s="11">
        <v>20</v>
      </c>
      <c r="E3" s="11" t="s">
        <v>24</v>
      </c>
      <c r="F3" s="11" t="s">
        <v>21</v>
      </c>
      <c r="G3" s="11">
        <v>86</v>
      </c>
      <c r="H3" s="11">
        <v>2.5</v>
      </c>
      <c r="I3" s="11">
        <v>55</v>
      </c>
      <c r="J3" s="11">
        <v>70</v>
      </c>
      <c r="K3" s="11">
        <v>62</v>
      </c>
      <c r="L3" s="11">
        <v>61</v>
      </c>
      <c r="M3" s="11">
        <v>57</v>
      </c>
      <c r="N3" s="12">
        <f t="shared" si="0"/>
        <v>305</v>
      </c>
      <c r="O3" s="13">
        <f t="shared" si="1"/>
        <v>61</v>
      </c>
      <c r="P3" s="12" t="str">
        <f t="shared" si="2"/>
        <v>Improvement</v>
      </c>
      <c r="Q3" s="12" t="str">
        <f t="shared" si="3"/>
        <v>Good</v>
      </c>
    </row>
    <row r="4" spans="1:20">
      <c r="A4" s="11" t="s">
        <v>25</v>
      </c>
      <c r="B4" s="11" t="s">
        <v>26</v>
      </c>
      <c r="C4" s="11" t="s">
        <v>19</v>
      </c>
      <c r="D4" s="11">
        <v>21</v>
      </c>
      <c r="E4" s="11" t="s">
        <v>27</v>
      </c>
      <c r="F4" s="11" t="s">
        <v>21</v>
      </c>
      <c r="G4" s="11">
        <v>78</v>
      </c>
      <c r="H4" s="11">
        <v>4.6</v>
      </c>
      <c r="I4" s="11">
        <v>72</v>
      </c>
      <c r="J4" s="11">
        <v>73</v>
      </c>
      <c r="K4" s="11">
        <v>86</v>
      </c>
      <c r="L4" s="11">
        <v>66</v>
      </c>
      <c r="M4" s="11">
        <v>65</v>
      </c>
      <c r="N4" s="12">
        <f t="shared" si="0"/>
        <v>362</v>
      </c>
      <c r="O4" s="13">
        <f t="shared" si="1"/>
        <v>72.4</v>
      </c>
      <c r="P4" s="12" t="str">
        <f t="shared" si="2"/>
        <v>Improvement</v>
      </c>
      <c r="Q4" s="12" t="str">
        <f t="shared" si="3"/>
        <v>Good</v>
      </c>
    </row>
    <row r="5" spans="1:20">
      <c r="A5" s="11" t="s">
        <v>28</v>
      </c>
      <c r="B5" s="11" t="s">
        <v>29</v>
      </c>
      <c r="C5" s="11" t="s">
        <v>30</v>
      </c>
      <c r="D5" s="11">
        <v>21</v>
      </c>
      <c r="E5" s="11" t="s">
        <v>20</v>
      </c>
      <c r="F5" s="11" t="s">
        <v>31</v>
      </c>
      <c r="G5" s="11">
        <v>80</v>
      </c>
      <c r="H5" s="11">
        <v>2.5</v>
      </c>
      <c r="I5" s="11">
        <v>58</v>
      </c>
      <c r="J5" s="11">
        <v>59</v>
      </c>
      <c r="K5" s="11">
        <v>57</v>
      </c>
      <c r="L5" s="11">
        <v>48</v>
      </c>
      <c r="M5" s="11">
        <v>55</v>
      </c>
      <c r="N5" s="12">
        <f t="shared" si="0"/>
        <v>277</v>
      </c>
      <c r="O5" s="13">
        <f t="shared" si="1"/>
        <v>55.4</v>
      </c>
      <c r="P5" s="12" t="str">
        <f t="shared" si="2"/>
        <v>Improvement</v>
      </c>
      <c r="Q5" s="12" t="str">
        <f t="shared" si="3"/>
        <v>Bad</v>
      </c>
    </row>
    <row r="6" spans="1:20">
      <c r="A6" s="11" t="s">
        <v>32</v>
      </c>
      <c r="B6" s="11" t="s">
        <v>33</v>
      </c>
      <c r="C6" s="11" t="s">
        <v>30</v>
      </c>
      <c r="D6" s="11">
        <v>19</v>
      </c>
      <c r="E6" s="11" t="s">
        <v>34</v>
      </c>
      <c r="F6" s="11" t="s">
        <v>35</v>
      </c>
      <c r="G6" s="11">
        <v>84</v>
      </c>
      <c r="H6" s="11">
        <v>4.8</v>
      </c>
      <c r="I6" s="11">
        <v>71</v>
      </c>
      <c r="J6" s="11">
        <v>74</v>
      </c>
      <c r="K6" s="11">
        <v>57</v>
      </c>
      <c r="L6" s="11">
        <v>67</v>
      </c>
      <c r="M6" s="11">
        <v>65</v>
      </c>
      <c r="N6" s="12">
        <f t="shared" si="0"/>
        <v>334</v>
      </c>
      <c r="O6" s="13">
        <f t="shared" si="1"/>
        <v>66.8</v>
      </c>
      <c r="P6" s="12" t="str">
        <f t="shared" si="2"/>
        <v>Improvement</v>
      </c>
      <c r="Q6" s="12" t="str">
        <f t="shared" si="3"/>
        <v>Good</v>
      </c>
    </row>
    <row r="7" spans="1:20">
      <c r="A7" s="11" t="s">
        <v>36</v>
      </c>
      <c r="B7" s="11" t="s">
        <v>37</v>
      </c>
      <c r="C7" s="11" t="s">
        <v>30</v>
      </c>
      <c r="D7" s="11">
        <v>19</v>
      </c>
      <c r="E7" s="11" t="s">
        <v>38</v>
      </c>
      <c r="F7" s="11" t="s">
        <v>39</v>
      </c>
      <c r="G7" s="11">
        <v>74</v>
      </c>
      <c r="H7" s="11">
        <v>5.3</v>
      </c>
      <c r="I7" s="11">
        <v>54</v>
      </c>
      <c r="J7" s="11">
        <v>58</v>
      </c>
      <c r="K7" s="11">
        <v>61</v>
      </c>
      <c r="L7" s="11">
        <v>62</v>
      </c>
      <c r="M7" s="11">
        <v>63</v>
      </c>
      <c r="N7" s="12">
        <f t="shared" si="0"/>
        <v>298</v>
      </c>
      <c r="O7" s="13">
        <f t="shared" si="1"/>
        <v>59.6</v>
      </c>
      <c r="P7" s="12" t="str">
        <f t="shared" si="2"/>
        <v>Improvement</v>
      </c>
      <c r="Q7" s="12" t="str">
        <f t="shared" si="3"/>
        <v>Bad</v>
      </c>
    </row>
    <row r="8" spans="1:20">
      <c r="A8" s="11" t="s">
        <v>40</v>
      </c>
      <c r="B8" s="11" t="s">
        <v>41</v>
      </c>
      <c r="C8" s="11" t="s">
        <v>30</v>
      </c>
      <c r="D8" s="11">
        <v>22</v>
      </c>
      <c r="E8" s="11" t="s">
        <v>20</v>
      </c>
      <c r="F8" s="11" t="s">
        <v>31</v>
      </c>
      <c r="G8" s="11">
        <v>80</v>
      </c>
      <c r="H8" s="11">
        <v>1.9</v>
      </c>
      <c r="I8" s="11">
        <v>41</v>
      </c>
      <c r="J8" s="11">
        <v>52</v>
      </c>
      <c r="K8" s="11">
        <v>49</v>
      </c>
      <c r="L8" s="11">
        <v>54</v>
      </c>
      <c r="M8" s="11">
        <v>45</v>
      </c>
      <c r="N8" s="12">
        <f t="shared" si="0"/>
        <v>241</v>
      </c>
      <c r="O8" s="13">
        <f t="shared" si="1"/>
        <v>48.2</v>
      </c>
      <c r="P8" s="12" t="str">
        <f t="shared" si="2"/>
        <v>Improvement</v>
      </c>
      <c r="Q8" s="12" t="str">
        <f t="shared" si="3"/>
        <v>Bad</v>
      </c>
    </row>
    <row r="9" spans="1:20">
      <c r="A9" s="11" t="s">
        <v>42</v>
      </c>
      <c r="B9" s="11" t="s">
        <v>43</v>
      </c>
      <c r="C9" s="11" t="s">
        <v>30</v>
      </c>
      <c r="D9" s="11">
        <v>20</v>
      </c>
      <c r="E9" s="11" t="s">
        <v>24</v>
      </c>
      <c r="F9" s="11" t="s">
        <v>44</v>
      </c>
      <c r="G9" s="11">
        <v>86</v>
      </c>
      <c r="H9" s="11">
        <v>2.8</v>
      </c>
      <c r="I9" s="11">
        <v>56</v>
      </c>
      <c r="J9" s="11">
        <v>49</v>
      </c>
      <c r="K9" s="11">
        <v>62</v>
      </c>
      <c r="L9" s="11">
        <v>55</v>
      </c>
      <c r="M9" s="11">
        <v>59</v>
      </c>
      <c r="N9" s="12">
        <f t="shared" si="0"/>
        <v>281</v>
      </c>
      <c r="O9" s="13">
        <f t="shared" si="1"/>
        <v>56.2</v>
      </c>
      <c r="P9" s="12" t="str">
        <f t="shared" si="2"/>
        <v>Improvement</v>
      </c>
      <c r="Q9" s="12" t="str">
        <f t="shared" si="3"/>
        <v>Bad</v>
      </c>
      <c r="S9" s="15" t="s">
        <v>45</v>
      </c>
      <c r="T9" s="15" t="s">
        <v>16</v>
      </c>
    </row>
    <row r="10" spans="1:20">
      <c r="A10" s="11" t="s">
        <v>46</v>
      </c>
      <c r="B10" s="11" t="s">
        <v>47</v>
      </c>
      <c r="C10" s="11" t="s">
        <v>30</v>
      </c>
      <c r="D10" s="11">
        <v>20</v>
      </c>
      <c r="E10" s="11" t="s">
        <v>48</v>
      </c>
      <c r="F10" s="11" t="s">
        <v>44</v>
      </c>
      <c r="G10" s="11">
        <v>81</v>
      </c>
      <c r="H10" s="11">
        <v>3.2</v>
      </c>
      <c r="I10" s="11">
        <v>48</v>
      </c>
      <c r="J10" s="11">
        <v>49</v>
      </c>
      <c r="K10" s="11">
        <v>50</v>
      </c>
      <c r="L10" s="11">
        <v>53</v>
      </c>
      <c r="M10" s="11">
        <v>64</v>
      </c>
      <c r="N10" s="12">
        <f t="shared" si="0"/>
        <v>264</v>
      </c>
      <c r="O10" s="13">
        <f t="shared" si="1"/>
        <v>52.8</v>
      </c>
      <c r="P10" s="12" t="str">
        <f t="shared" si="2"/>
        <v>Improvement</v>
      </c>
      <c r="Q10" s="12" t="str">
        <f t="shared" si="3"/>
        <v>Bad</v>
      </c>
      <c r="S10" s="15">
        <v>400</v>
      </c>
      <c r="T10" s="16" t="s">
        <v>49</v>
      </c>
    </row>
    <row r="11" spans="1:20">
      <c r="A11" s="11" t="s">
        <v>50</v>
      </c>
      <c r="B11" s="11" t="s">
        <v>51</v>
      </c>
      <c r="C11" s="11" t="s">
        <v>19</v>
      </c>
      <c r="D11" s="11">
        <v>21</v>
      </c>
      <c r="E11" s="11" t="s">
        <v>34</v>
      </c>
      <c r="F11" s="11" t="s">
        <v>52</v>
      </c>
      <c r="G11" s="11">
        <v>78</v>
      </c>
      <c r="H11" s="11">
        <v>4.9</v>
      </c>
      <c r="I11" s="11">
        <v>60</v>
      </c>
      <c r="J11" s="11">
        <v>54</v>
      </c>
      <c r="K11" s="11">
        <v>59</v>
      </c>
      <c r="L11" s="11">
        <v>68</v>
      </c>
      <c r="M11" s="11">
        <v>47</v>
      </c>
      <c r="N11" s="12">
        <f t="shared" si="0"/>
        <v>288</v>
      </c>
      <c r="O11" s="13">
        <f t="shared" si="1"/>
        <v>57.6</v>
      </c>
      <c r="P11" s="12" t="str">
        <f t="shared" si="2"/>
        <v>Improvement</v>
      </c>
      <c r="Q11" s="12" t="str">
        <f t="shared" si="3"/>
        <v>Bad</v>
      </c>
      <c r="S11" s="15">
        <v>300</v>
      </c>
      <c r="T11" s="16" t="s">
        <v>53</v>
      </c>
    </row>
    <row r="12" spans="1:20">
      <c r="A12" s="11" t="s">
        <v>54</v>
      </c>
      <c r="B12" s="11" t="s">
        <v>55</v>
      </c>
      <c r="C12" s="11" t="s">
        <v>30</v>
      </c>
      <c r="D12" s="11">
        <v>20</v>
      </c>
      <c r="E12" s="11" t="s">
        <v>24</v>
      </c>
      <c r="F12" s="11" t="s">
        <v>31</v>
      </c>
      <c r="G12" s="11">
        <v>68</v>
      </c>
      <c r="H12" s="11">
        <v>3.9</v>
      </c>
      <c r="I12" s="11">
        <v>60</v>
      </c>
      <c r="J12" s="11">
        <v>58</v>
      </c>
      <c r="K12" s="11">
        <v>71</v>
      </c>
      <c r="L12" s="11">
        <v>56</v>
      </c>
      <c r="M12" s="11">
        <v>50</v>
      </c>
      <c r="N12" s="12">
        <f t="shared" si="0"/>
        <v>295</v>
      </c>
      <c r="O12" s="13">
        <f t="shared" si="1"/>
        <v>59</v>
      </c>
      <c r="P12" s="12" t="str">
        <f t="shared" si="2"/>
        <v>Improvement</v>
      </c>
      <c r="Q12" s="12" t="str">
        <f t="shared" si="3"/>
        <v>Bad</v>
      </c>
      <c r="S12" s="15">
        <v>200</v>
      </c>
      <c r="T12" s="16" t="s">
        <v>56</v>
      </c>
    </row>
    <row r="13" spans="1:20">
      <c r="A13" s="11" t="s">
        <v>57</v>
      </c>
      <c r="B13" s="11" t="s">
        <v>58</v>
      </c>
      <c r="C13" s="11" t="s">
        <v>30</v>
      </c>
      <c r="D13" s="11">
        <v>18</v>
      </c>
      <c r="E13" s="11" t="s">
        <v>38</v>
      </c>
      <c r="F13" s="11" t="s">
        <v>44</v>
      </c>
      <c r="G13" s="11">
        <v>89</v>
      </c>
      <c r="H13" s="11">
        <v>4.3</v>
      </c>
      <c r="I13" s="11">
        <v>69</v>
      </c>
      <c r="J13" s="11">
        <v>73</v>
      </c>
      <c r="K13" s="11">
        <v>71</v>
      </c>
      <c r="L13" s="11">
        <v>75</v>
      </c>
      <c r="M13" s="11">
        <v>67</v>
      </c>
      <c r="N13" s="12">
        <f t="shared" si="0"/>
        <v>355</v>
      </c>
      <c r="O13" s="13">
        <f t="shared" si="1"/>
        <v>71</v>
      </c>
      <c r="P13" s="12" t="str">
        <f t="shared" si="2"/>
        <v>Improvement</v>
      </c>
      <c r="Q13" s="12" t="str">
        <f t="shared" si="3"/>
        <v>Good</v>
      </c>
      <c r="S13" s="15">
        <v>100</v>
      </c>
      <c r="T13" s="16" t="s">
        <v>59</v>
      </c>
    </row>
    <row r="14" spans="1:20">
      <c r="A14" s="11" t="s">
        <v>60</v>
      </c>
      <c r="B14" s="11" t="s">
        <v>61</v>
      </c>
      <c r="C14" s="11" t="s">
        <v>30</v>
      </c>
      <c r="D14" s="11">
        <v>18</v>
      </c>
      <c r="E14" s="11" t="s">
        <v>38</v>
      </c>
      <c r="F14" s="11" t="s">
        <v>52</v>
      </c>
      <c r="G14" s="11">
        <v>72</v>
      </c>
      <c r="H14" s="11">
        <v>4.3</v>
      </c>
      <c r="I14" s="11">
        <v>86</v>
      </c>
      <c r="J14" s="11">
        <v>93</v>
      </c>
      <c r="K14" s="11">
        <v>73</v>
      </c>
      <c r="L14" s="11">
        <v>62</v>
      </c>
      <c r="M14" s="11">
        <v>53</v>
      </c>
      <c r="N14" s="12">
        <f t="shared" si="0"/>
        <v>367</v>
      </c>
      <c r="O14" s="13">
        <f t="shared" si="1"/>
        <v>73.4</v>
      </c>
      <c r="P14" s="12" t="str">
        <f t="shared" si="2"/>
        <v>Improvement</v>
      </c>
      <c r="Q14" s="12" t="str">
        <f t="shared" si="3"/>
        <v>Good</v>
      </c>
    </row>
    <row r="15" spans="1:20">
      <c r="A15" s="11" t="s">
        <v>62</v>
      </c>
      <c r="B15" s="11" t="s">
        <v>63</v>
      </c>
      <c r="C15" s="11" t="s">
        <v>30</v>
      </c>
      <c r="D15" s="11">
        <v>20</v>
      </c>
      <c r="E15" s="11" t="s">
        <v>34</v>
      </c>
      <c r="F15" s="11" t="s">
        <v>64</v>
      </c>
      <c r="G15" s="11">
        <v>76</v>
      </c>
      <c r="H15" s="11">
        <v>3.6</v>
      </c>
      <c r="I15" s="11">
        <v>71</v>
      </c>
      <c r="J15" s="11">
        <v>68</v>
      </c>
      <c r="K15" s="11">
        <v>61</v>
      </c>
      <c r="L15" s="11">
        <v>56</v>
      </c>
      <c r="M15" s="11">
        <v>66</v>
      </c>
      <c r="N15" s="12">
        <f t="shared" si="0"/>
        <v>322</v>
      </c>
      <c r="O15" s="13">
        <f t="shared" si="1"/>
        <v>64.4</v>
      </c>
      <c r="P15" s="12" t="str">
        <f t="shared" si="2"/>
        <v>Improvement</v>
      </c>
      <c r="Q15" s="12" t="str">
        <f t="shared" si="3"/>
        <v>Good</v>
      </c>
    </row>
    <row r="16" spans="1:20">
      <c r="A16" s="11" t="s">
        <v>65</v>
      </c>
      <c r="B16" s="11" t="s">
        <v>66</v>
      </c>
      <c r="C16" s="11" t="s">
        <v>19</v>
      </c>
      <c r="D16" s="11">
        <v>21</v>
      </c>
      <c r="E16" s="11" t="s">
        <v>24</v>
      </c>
      <c r="F16" s="11" t="s">
        <v>35</v>
      </c>
      <c r="G16" s="11">
        <v>83</v>
      </c>
      <c r="H16" s="11">
        <v>5.3</v>
      </c>
      <c r="I16" s="11">
        <v>57</v>
      </c>
      <c r="J16" s="11">
        <v>59</v>
      </c>
      <c r="K16" s="11">
        <v>61</v>
      </c>
      <c r="L16" s="11">
        <v>84</v>
      </c>
      <c r="M16" s="11">
        <v>60</v>
      </c>
      <c r="N16" s="12">
        <f t="shared" si="0"/>
        <v>321</v>
      </c>
      <c r="O16" s="13">
        <f t="shared" si="1"/>
        <v>64.2</v>
      </c>
      <c r="P16" s="12" t="str">
        <f t="shared" si="2"/>
        <v>Improvement</v>
      </c>
      <c r="Q16" s="12" t="str">
        <f t="shared" si="3"/>
        <v>Good</v>
      </c>
    </row>
    <row r="17" spans="1:17">
      <c r="A17" s="11" t="s">
        <v>67</v>
      </c>
      <c r="B17" s="11" t="s">
        <v>68</v>
      </c>
      <c r="C17" s="11" t="s">
        <v>19</v>
      </c>
      <c r="D17" s="11">
        <v>19</v>
      </c>
      <c r="E17" s="11" t="s">
        <v>34</v>
      </c>
      <c r="F17" s="11" t="s">
        <v>52</v>
      </c>
      <c r="G17" s="11">
        <v>85</v>
      </c>
      <c r="H17" s="11">
        <v>3.6</v>
      </c>
      <c r="I17" s="11">
        <v>59</v>
      </c>
      <c r="J17" s="11">
        <v>67</v>
      </c>
      <c r="K17" s="11">
        <v>60</v>
      </c>
      <c r="L17" s="11">
        <v>54</v>
      </c>
      <c r="M17" s="11">
        <v>54</v>
      </c>
      <c r="N17" s="12">
        <f t="shared" si="0"/>
        <v>294</v>
      </c>
      <c r="O17" s="13">
        <f t="shared" si="1"/>
        <v>58.8</v>
      </c>
      <c r="P17" s="12" t="str">
        <f t="shared" si="2"/>
        <v>Improvement</v>
      </c>
      <c r="Q17" s="12" t="str">
        <f t="shared" si="3"/>
        <v>Bad</v>
      </c>
    </row>
    <row r="18" spans="1:17">
      <c r="A18" s="11" t="s">
        <v>69</v>
      </c>
      <c r="B18" s="11" t="s">
        <v>70</v>
      </c>
      <c r="C18" s="11" t="s">
        <v>19</v>
      </c>
      <c r="D18" s="11">
        <v>22</v>
      </c>
      <c r="E18" s="11" t="s">
        <v>48</v>
      </c>
      <c r="F18" s="11" t="s">
        <v>52</v>
      </c>
      <c r="G18" s="11">
        <v>80</v>
      </c>
      <c r="H18" s="11">
        <v>4.2</v>
      </c>
      <c r="I18" s="11">
        <v>76</v>
      </c>
      <c r="J18" s="11">
        <v>71</v>
      </c>
      <c r="K18" s="11">
        <v>83</v>
      </c>
      <c r="L18" s="11">
        <v>78</v>
      </c>
      <c r="M18" s="11">
        <v>87</v>
      </c>
      <c r="N18" s="12">
        <f t="shared" si="0"/>
        <v>395</v>
      </c>
      <c r="O18" s="13">
        <f t="shared" si="1"/>
        <v>79</v>
      </c>
      <c r="P18" s="12" t="str">
        <f t="shared" si="2"/>
        <v>Improvement</v>
      </c>
      <c r="Q18" s="12" t="str">
        <f t="shared" si="3"/>
        <v>Good</v>
      </c>
    </row>
    <row r="19" spans="1:17">
      <c r="A19" s="11" t="s">
        <v>71</v>
      </c>
      <c r="B19" s="11" t="s">
        <v>72</v>
      </c>
      <c r="C19" s="11" t="s">
        <v>19</v>
      </c>
      <c r="D19" s="11">
        <v>22</v>
      </c>
      <c r="E19" s="11" t="s">
        <v>27</v>
      </c>
      <c r="F19" s="11" t="s">
        <v>31</v>
      </c>
      <c r="G19" s="11">
        <v>96</v>
      </c>
      <c r="H19" s="11">
        <v>6.4</v>
      </c>
      <c r="I19" s="11">
        <v>73</v>
      </c>
      <c r="J19" s="11">
        <v>88</v>
      </c>
      <c r="K19" s="11">
        <v>68</v>
      </c>
      <c r="L19" s="11">
        <v>69</v>
      </c>
      <c r="M19" s="11">
        <v>82</v>
      </c>
      <c r="N19" s="12">
        <f t="shared" si="0"/>
        <v>380</v>
      </c>
      <c r="O19" s="13">
        <f t="shared" si="1"/>
        <v>76</v>
      </c>
      <c r="P19" s="12" t="str">
        <f t="shared" si="2"/>
        <v>Improvement</v>
      </c>
      <c r="Q19" s="12" t="str">
        <f t="shared" si="3"/>
        <v>Good</v>
      </c>
    </row>
    <row r="20" spans="1:17">
      <c r="A20" s="11" t="s">
        <v>73</v>
      </c>
      <c r="B20" s="11" t="s">
        <v>26</v>
      </c>
      <c r="C20" s="11" t="s">
        <v>19</v>
      </c>
      <c r="D20" s="11">
        <v>20</v>
      </c>
      <c r="E20" s="11" t="s">
        <v>24</v>
      </c>
      <c r="F20" s="11" t="s">
        <v>31</v>
      </c>
      <c r="G20" s="11">
        <v>85</v>
      </c>
      <c r="H20" s="11">
        <v>5.9</v>
      </c>
      <c r="I20" s="11">
        <v>79</v>
      </c>
      <c r="J20" s="11">
        <v>58</v>
      </c>
      <c r="K20" s="11">
        <v>74</v>
      </c>
      <c r="L20" s="11">
        <v>67</v>
      </c>
      <c r="M20" s="11">
        <v>64</v>
      </c>
      <c r="N20" s="12">
        <f t="shared" si="0"/>
        <v>342</v>
      </c>
      <c r="O20" s="13">
        <f t="shared" si="1"/>
        <v>68.4</v>
      </c>
      <c r="P20" s="12" t="str">
        <f t="shared" si="2"/>
        <v>Improvement</v>
      </c>
      <c r="Q20" s="12" t="str">
        <f t="shared" si="3"/>
        <v>Good</v>
      </c>
    </row>
    <row r="21" spans="1:17">
      <c r="A21" s="11" t="s">
        <v>74</v>
      </c>
      <c r="B21" s="11" t="s">
        <v>75</v>
      </c>
      <c r="C21" s="11" t="s">
        <v>19</v>
      </c>
      <c r="D21" s="11">
        <v>18</v>
      </c>
      <c r="E21" s="11" t="s">
        <v>48</v>
      </c>
      <c r="F21" s="11" t="s">
        <v>35</v>
      </c>
      <c r="G21" s="11">
        <v>70</v>
      </c>
      <c r="H21" s="11">
        <v>3.8</v>
      </c>
      <c r="I21" s="11">
        <v>56</v>
      </c>
      <c r="J21" s="11">
        <v>66</v>
      </c>
      <c r="K21" s="11">
        <v>63</v>
      </c>
      <c r="L21" s="11">
        <v>69</v>
      </c>
      <c r="M21" s="11">
        <v>57</v>
      </c>
      <c r="N21" s="12">
        <f t="shared" si="0"/>
        <v>311</v>
      </c>
      <c r="O21" s="13">
        <f t="shared" si="1"/>
        <v>62.2</v>
      </c>
      <c r="P21" s="12" t="str">
        <f t="shared" si="2"/>
        <v>Improvement</v>
      </c>
      <c r="Q21" s="12" t="str">
        <f t="shared" si="3"/>
        <v>Good</v>
      </c>
    </row>
    <row r="22" spans="1:17">
      <c r="A22" s="11" t="s">
        <v>76</v>
      </c>
      <c r="B22" s="11" t="s">
        <v>77</v>
      </c>
      <c r="C22" s="11" t="s">
        <v>30</v>
      </c>
      <c r="D22" s="11">
        <v>20</v>
      </c>
      <c r="E22" s="11" t="s">
        <v>38</v>
      </c>
      <c r="F22" s="11" t="s">
        <v>64</v>
      </c>
      <c r="G22" s="11">
        <v>83</v>
      </c>
      <c r="H22" s="11">
        <v>2.2</v>
      </c>
      <c r="I22" s="11">
        <v>61</v>
      </c>
      <c r="J22" s="11">
        <v>79</v>
      </c>
      <c r="K22" s="11">
        <v>74</v>
      </c>
      <c r="L22" s="11">
        <v>52</v>
      </c>
      <c r="M22" s="11">
        <v>56</v>
      </c>
      <c r="N22" s="12">
        <f t="shared" si="0"/>
        <v>322</v>
      </c>
      <c r="O22" s="13">
        <f t="shared" si="1"/>
        <v>64.4</v>
      </c>
      <c r="P22" s="12" t="str">
        <f t="shared" si="2"/>
        <v>Improvement</v>
      </c>
      <c r="Q22" s="12" t="str">
        <f t="shared" si="3"/>
        <v>Good</v>
      </c>
    </row>
    <row r="23" spans="1:17">
      <c r="A23" s="11" t="s">
        <v>78</v>
      </c>
      <c r="B23" s="11" t="s">
        <v>79</v>
      </c>
      <c r="C23" s="11" t="s">
        <v>19</v>
      </c>
      <c r="D23" s="11">
        <v>22</v>
      </c>
      <c r="E23" s="11" t="s">
        <v>48</v>
      </c>
      <c r="F23" s="11" t="s">
        <v>39</v>
      </c>
      <c r="G23" s="11">
        <v>92</v>
      </c>
      <c r="H23" s="11">
        <v>2.7</v>
      </c>
      <c r="I23" s="11">
        <v>40</v>
      </c>
      <c r="J23" s="11">
        <v>56</v>
      </c>
      <c r="K23" s="11">
        <v>49</v>
      </c>
      <c r="L23" s="11">
        <v>53</v>
      </c>
      <c r="M23" s="11">
        <v>50</v>
      </c>
      <c r="N23" s="12">
        <f t="shared" si="0"/>
        <v>248</v>
      </c>
      <c r="O23" s="13">
        <f t="shared" si="1"/>
        <v>49.6</v>
      </c>
      <c r="P23" s="12" t="str">
        <f t="shared" si="2"/>
        <v>Improvement</v>
      </c>
      <c r="Q23" s="12" t="str">
        <f t="shared" si="3"/>
        <v>Bad</v>
      </c>
    </row>
    <row r="24" spans="1:17">
      <c r="A24" s="11" t="s">
        <v>80</v>
      </c>
      <c r="B24" s="11" t="s">
        <v>81</v>
      </c>
      <c r="C24" s="11" t="s">
        <v>19</v>
      </c>
      <c r="D24" s="11">
        <v>19</v>
      </c>
      <c r="E24" s="11" t="s">
        <v>27</v>
      </c>
      <c r="F24" s="11" t="s">
        <v>44</v>
      </c>
      <c r="G24" s="11">
        <v>100</v>
      </c>
      <c r="H24" s="11">
        <v>1.9</v>
      </c>
      <c r="I24" s="11">
        <v>68</v>
      </c>
      <c r="J24" s="11">
        <v>76</v>
      </c>
      <c r="K24" s="11">
        <v>44</v>
      </c>
      <c r="L24" s="11">
        <v>50</v>
      </c>
      <c r="M24" s="11">
        <v>56</v>
      </c>
      <c r="N24" s="12">
        <f t="shared" si="0"/>
        <v>294</v>
      </c>
      <c r="O24" s="13">
        <f t="shared" si="1"/>
        <v>58.8</v>
      </c>
      <c r="P24" s="12" t="str">
        <f t="shared" si="2"/>
        <v>Improvement</v>
      </c>
      <c r="Q24" s="12" t="str">
        <f t="shared" si="3"/>
        <v>Bad</v>
      </c>
    </row>
    <row r="25" spans="1:17">
      <c r="A25" s="11" t="s">
        <v>82</v>
      </c>
      <c r="B25" s="11" t="s">
        <v>83</v>
      </c>
      <c r="C25" s="11" t="s">
        <v>19</v>
      </c>
      <c r="D25" s="11">
        <v>22</v>
      </c>
      <c r="E25" s="11" t="s">
        <v>34</v>
      </c>
      <c r="F25" s="11" t="s">
        <v>31</v>
      </c>
      <c r="G25" s="11">
        <v>88</v>
      </c>
      <c r="H25" s="11">
        <v>4.5</v>
      </c>
      <c r="I25" s="11">
        <v>65</v>
      </c>
      <c r="J25" s="11">
        <v>55</v>
      </c>
      <c r="K25" s="11">
        <v>64</v>
      </c>
      <c r="L25" s="11">
        <v>64</v>
      </c>
      <c r="M25" s="11">
        <v>68</v>
      </c>
      <c r="N25" s="12">
        <f t="shared" si="0"/>
        <v>316</v>
      </c>
      <c r="O25" s="13">
        <f t="shared" si="1"/>
        <v>63.2</v>
      </c>
      <c r="P25" s="12" t="str">
        <f t="shared" si="2"/>
        <v>Improvement</v>
      </c>
      <c r="Q25" s="12" t="str">
        <f t="shared" si="3"/>
        <v>Good</v>
      </c>
    </row>
    <row r="26" spans="1:17">
      <c r="A26" s="11" t="s">
        <v>84</v>
      </c>
      <c r="B26" s="11" t="s">
        <v>85</v>
      </c>
      <c r="C26" s="11" t="s">
        <v>30</v>
      </c>
      <c r="D26" s="11">
        <v>20</v>
      </c>
      <c r="E26" s="11" t="s">
        <v>24</v>
      </c>
      <c r="F26" s="11" t="s">
        <v>35</v>
      </c>
      <c r="G26" s="11">
        <v>83</v>
      </c>
      <c r="H26" s="11">
        <v>4.3</v>
      </c>
      <c r="I26" s="11">
        <v>67</v>
      </c>
      <c r="J26" s="11">
        <v>61</v>
      </c>
      <c r="K26" s="11">
        <v>69</v>
      </c>
      <c r="L26" s="11">
        <v>66</v>
      </c>
      <c r="M26" s="11">
        <v>84</v>
      </c>
      <c r="N26" s="12">
        <f t="shared" si="0"/>
        <v>347</v>
      </c>
      <c r="O26" s="13">
        <f t="shared" si="1"/>
        <v>69.4</v>
      </c>
      <c r="P26" s="12" t="str">
        <f t="shared" si="2"/>
        <v>Improvement</v>
      </c>
      <c r="Q26" s="12" t="str">
        <f t="shared" si="3"/>
        <v>Good</v>
      </c>
    </row>
    <row r="27" spans="1:17">
      <c r="A27" s="11" t="s">
        <v>86</v>
      </c>
      <c r="B27" s="11" t="s">
        <v>87</v>
      </c>
      <c r="C27" s="11" t="s">
        <v>30</v>
      </c>
      <c r="D27" s="11">
        <v>19</v>
      </c>
      <c r="E27" s="11" t="s">
        <v>20</v>
      </c>
      <c r="F27" s="11" t="s">
        <v>39</v>
      </c>
      <c r="G27" s="11">
        <v>71</v>
      </c>
      <c r="H27" s="11">
        <v>5.6</v>
      </c>
      <c r="I27" s="11">
        <v>75</v>
      </c>
      <c r="J27" s="11">
        <v>57</v>
      </c>
      <c r="K27" s="11">
        <v>78</v>
      </c>
      <c r="L27" s="11">
        <v>74</v>
      </c>
      <c r="M27" s="11">
        <v>62</v>
      </c>
      <c r="N27" s="12">
        <f t="shared" si="0"/>
        <v>346</v>
      </c>
      <c r="O27" s="13">
        <f t="shared" si="1"/>
        <v>69.2</v>
      </c>
      <c r="P27" s="12" t="str">
        <f t="shared" si="2"/>
        <v>Improvement</v>
      </c>
      <c r="Q27" s="12" t="str">
        <f t="shared" si="3"/>
        <v>Good</v>
      </c>
    </row>
    <row r="28" spans="1:17">
      <c r="A28" s="11" t="s">
        <v>88</v>
      </c>
      <c r="B28" s="11" t="s">
        <v>89</v>
      </c>
      <c r="C28" s="11" t="s">
        <v>19</v>
      </c>
      <c r="D28" s="11">
        <v>21</v>
      </c>
      <c r="E28" s="11" t="s">
        <v>48</v>
      </c>
      <c r="F28" s="11" t="s">
        <v>35</v>
      </c>
      <c r="G28" s="11">
        <v>79</v>
      </c>
      <c r="H28" s="11">
        <v>3.6</v>
      </c>
      <c r="I28" s="11">
        <v>62</v>
      </c>
      <c r="J28" s="11">
        <v>73</v>
      </c>
      <c r="K28" s="11">
        <v>40</v>
      </c>
      <c r="L28" s="11">
        <v>59</v>
      </c>
      <c r="M28" s="11">
        <v>62</v>
      </c>
      <c r="N28" s="12">
        <f t="shared" si="0"/>
        <v>296</v>
      </c>
      <c r="O28" s="13">
        <f t="shared" si="1"/>
        <v>59.2</v>
      </c>
      <c r="P28" s="12" t="str">
        <f t="shared" si="2"/>
        <v>Improvement</v>
      </c>
      <c r="Q28" s="12" t="str">
        <f t="shared" si="3"/>
        <v>Bad</v>
      </c>
    </row>
    <row r="29" spans="1:17">
      <c r="A29" s="11" t="s">
        <v>90</v>
      </c>
      <c r="B29" s="11" t="s">
        <v>72</v>
      </c>
      <c r="C29" s="11" t="s">
        <v>19</v>
      </c>
      <c r="D29" s="11">
        <v>20</v>
      </c>
      <c r="E29" s="11" t="s">
        <v>38</v>
      </c>
      <c r="F29" s="11" t="s">
        <v>44</v>
      </c>
      <c r="G29" s="11">
        <v>84</v>
      </c>
      <c r="H29" s="11">
        <v>6.4</v>
      </c>
      <c r="I29" s="11">
        <v>71</v>
      </c>
      <c r="J29" s="11">
        <v>62</v>
      </c>
      <c r="K29" s="11">
        <v>64</v>
      </c>
      <c r="L29" s="11">
        <v>56</v>
      </c>
      <c r="M29" s="11">
        <v>62</v>
      </c>
      <c r="N29" s="12">
        <f t="shared" si="0"/>
        <v>315</v>
      </c>
      <c r="O29" s="13">
        <f t="shared" si="1"/>
        <v>63</v>
      </c>
      <c r="P29" s="12" t="str">
        <f t="shared" si="2"/>
        <v>Improvement</v>
      </c>
      <c r="Q29" s="12" t="str">
        <f t="shared" si="3"/>
        <v>Good</v>
      </c>
    </row>
    <row r="30" spans="1:17">
      <c r="A30" s="11" t="s">
        <v>91</v>
      </c>
      <c r="B30" s="11" t="s">
        <v>23</v>
      </c>
      <c r="C30" s="11" t="s">
        <v>30</v>
      </c>
      <c r="D30" s="11">
        <v>22</v>
      </c>
      <c r="E30" s="11" t="s">
        <v>27</v>
      </c>
      <c r="F30" s="11" t="s">
        <v>44</v>
      </c>
      <c r="G30" s="11">
        <v>92</v>
      </c>
      <c r="H30" s="11">
        <v>4.5</v>
      </c>
      <c r="I30" s="11">
        <v>85</v>
      </c>
      <c r="J30" s="11">
        <v>88</v>
      </c>
      <c r="K30" s="11">
        <v>79</v>
      </c>
      <c r="L30" s="11">
        <v>82</v>
      </c>
      <c r="M30" s="11">
        <v>76</v>
      </c>
      <c r="N30" s="12">
        <f t="shared" si="0"/>
        <v>410</v>
      </c>
      <c r="O30" s="13">
        <f t="shared" si="1"/>
        <v>82</v>
      </c>
      <c r="P30" s="12" t="str">
        <f t="shared" si="2"/>
        <v>TopPerformer</v>
      </c>
      <c r="Q30" s="12" t="str">
        <f t="shared" si="3"/>
        <v>Excellent</v>
      </c>
    </row>
    <row r="31" spans="1:17">
      <c r="A31" s="11" t="s">
        <v>92</v>
      </c>
      <c r="B31" s="11" t="s">
        <v>93</v>
      </c>
      <c r="C31" s="11" t="s">
        <v>19</v>
      </c>
      <c r="D31" s="11">
        <v>20</v>
      </c>
      <c r="E31" s="11" t="s">
        <v>34</v>
      </c>
      <c r="F31" s="11" t="s">
        <v>35</v>
      </c>
      <c r="G31" s="11">
        <v>80</v>
      </c>
      <c r="H31" s="11">
        <v>5.6</v>
      </c>
      <c r="I31" s="11">
        <v>91</v>
      </c>
      <c r="J31" s="11">
        <v>82</v>
      </c>
      <c r="K31" s="11">
        <v>64</v>
      </c>
      <c r="L31" s="11">
        <v>76</v>
      </c>
      <c r="M31" s="11">
        <v>67</v>
      </c>
      <c r="N31" s="12">
        <f t="shared" si="0"/>
        <v>380</v>
      </c>
      <c r="O31" s="13">
        <f t="shared" si="1"/>
        <v>76</v>
      </c>
      <c r="P31" s="12" t="str">
        <f t="shared" si="2"/>
        <v>Improvement</v>
      </c>
      <c r="Q31" s="12" t="str">
        <f t="shared" si="3"/>
        <v>Good</v>
      </c>
    </row>
    <row r="32" spans="1:17">
      <c r="A32" s="11" t="s">
        <v>94</v>
      </c>
      <c r="B32" s="11" t="s">
        <v>95</v>
      </c>
      <c r="C32" s="11" t="s">
        <v>19</v>
      </c>
      <c r="D32" s="11">
        <v>20</v>
      </c>
      <c r="E32" s="11" t="s">
        <v>24</v>
      </c>
      <c r="F32" s="11" t="s">
        <v>21</v>
      </c>
      <c r="G32" s="11">
        <v>75</v>
      </c>
      <c r="H32" s="11">
        <v>2.3</v>
      </c>
      <c r="I32" s="11">
        <v>47</v>
      </c>
      <c r="J32" s="11">
        <v>52</v>
      </c>
      <c r="K32" s="11">
        <v>59</v>
      </c>
      <c r="L32" s="11">
        <v>66</v>
      </c>
      <c r="M32" s="11">
        <v>62</v>
      </c>
      <c r="N32" s="12">
        <f t="shared" si="0"/>
        <v>286</v>
      </c>
      <c r="O32" s="13">
        <f t="shared" si="1"/>
        <v>57.2</v>
      </c>
      <c r="P32" s="12" t="str">
        <f t="shared" si="2"/>
        <v>Improvement</v>
      </c>
      <c r="Q32" s="12" t="str">
        <f t="shared" si="3"/>
        <v>Bad</v>
      </c>
    </row>
    <row r="33" spans="1:17">
      <c r="A33" s="11" t="s">
        <v>96</v>
      </c>
      <c r="B33" s="11" t="s">
        <v>97</v>
      </c>
      <c r="C33" s="11" t="s">
        <v>19</v>
      </c>
      <c r="D33" s="11">
        <v>21</v>
      </c>
      <c r="E33" s="11" t="s">
        <v>24</v>
      </c>
      <c r="F33" s="11" t="s">
        <v>21</v>
      </c>
      <c r="G33" s="11">
        <v>85</v>
      </c>
      <c r="H33" s="11">
        <v>6.2</v>
      </c>
      <c r="I33" s="11">
        <v>55</v>
      </c>
      <c r="J33" s="11">
        <v>65</v>
      </c>
      <c r="K33" s="11">
        <v>47</v>
      </c>
      <c r="L33" s="11">
        <v>72</v>
      </c>
      <c r="M33" s="11">
        <v>63</v>
      </c>
      <c r="N33" s="12">
        <f t="shared" si="0"/>
        <v>302</v>
      </c>
      <c r="O33" s="13">
        <f t="shared" si="1"/>
        <v>60.4</v>
      </c>
      <c r="P33" s="12" t="str">
        <f t="shared" si="2"/>
        <v>Improvement</v>
      </c>
      <c r="Q33" s="12" t="str">
        <f t="shared" si="3"/>
        <v>Good</v>
      </c>
    </row>
    <row r="34" spans="1:17">
      <c r="A34" s="11" t="s">
        <v>98</v>
      </c>
      <c r="B34" s="11" t="s">
        <v>99</v>
      </c>
      <c r="C34" s="11" t="s">
        <v>30</v>
      </c>
      <c r="D34" s="11">
        <v>19</v>
      </c>
      <c r="E34" s="11" t="s">
        <v>48</v>
      </c>
      <c r="F34" s="11" t="s">
        <v>35</v>
      </c>
      <c r="G34" s="11">
        <v>91</v>
      </c>
      <c r="H34" s="11">
        <v>4.1</v>
      </c>
      <c r="I34" s="11">
        <v>71</v>
      </c>
      <c r="J34" s="11">
        <v>62</v>
      </c>
      <c r="K34" s="11">
        <v>68</v>
      </c>
      <c r="L34" s="11">
        <v>68</v>
      </c>
      <c r="M34" s="11">
        <v>72</v>
      </c>
      <c r="N34" s="12">
        <f t="shared" si="0"/>
        <v>341</v>
      </c>
      <c r="O34" s="13">
        <f t="shared" si="1"/>
        <v>68.2</v>
      </c>
      <c r="P34" s="12" t="str">
        <f t="shared" si="2"/>
        <v>Improvement</v>
      </c>
      <c r="Q34" s="12" t="str">
        <f t="shared" si="3"/>
        <v>Good</v>
      </c>
    </row>
    <row r="35" spans="1:17">
      <c r="A35" s="11" t="s">
        <v>100</v>
      </c>
      <c r="B35" s="11" t="s">
        <v>101</v>
      </c>
      <c r="C35" s="11" t="s">
        <v>19</v>
      </c>
      <c r="D35" s="11">
        <v>21</v>
      </c>
      <c r="E35" s="11" t="s">
        <v>20</v>
      </c>
      <c r="F35" s="11" t="s">
        <v>44</v>
      </c>
      <c r="G35" s="11">
        <v>95</v>
      </c>
      <c r="H35" s="11">
        <v>2.7</v>
      </c>
      <c r="I35" s="11">
        <v>59</v>
      </c>
      <c r="J35" s="11">
        <v>64</v>
      </c>
      <c r="K35" s="11">
        <v>57</v>
      </c>
      <c r="L35" s="11">
        <v>68</v>
      </c>
      <c r="M35" s="11">
        <v>64</v>
      </c>
      <c r="N35" s="12">
        <f t="shared" si="0"/>
        <v>312</v>
      </c>
      <c r="O35" s="13">
        <f t="shared" si="1"/>
        <v>62.4</v>
      </c>
      <c r="P35" s="12" t="str">
        <f t="shared" si="2"/>
        <v>Improvement</v>
      </c>
      <c r="Q35" s="12" t="str">
        <f t="shared" si="3"/>
        <v>Good</v>
      </c>
    </row>
    <row r="36" spans="1:17">
      <c r="A36" s="11" t="s">
        <v>102</v>
      </c>
      <c r="B36" s="11" t="s">
        <v>26</v>
      </c>
      <c r="C36" s="11" t="s">
        <v>30</v>
      </c>
      <c r="D36" s="11">
        <v>19</v>
      </c>
      <c r="E36" s="11" t="s">
        <v>38</v>
      </c>
      <c r="F36" s="11" t="s">
        <v>21</v>
      </c>
      <c r="G36" s="11">
        <v>80</v>
      </c>
      <c r="H36" s="11">
        <v>1</v>
      </c>
      <c r="I36" s="11">
        <v>60</v>
      </c>
      <c r="J36" s="11">
        <v>65</v>
      </c>
      <c r="K36" s="11">
        <v>74</v>
      </c>
      <c r="L36" s="11">
        <v>51</v>
      </c>
      <c r="M36" s="11">
        <v>54</v>
      </c>
      <c r="N36" s="12">
        <f t="shared" si="0"/>
        <v>304</v>
      </c>
      <c r="O36" s="13">
        <f t="shared" si="1"/>
        <v>60.8</v>
      </c>
      <c r="P36" s="12" t="str">
        <f t="shared" si="2"/>
        <v>Improvement</v>
      </c>
      <c r="Q36" s="12" t="str">
        <f t="shared" si="3"/>
        <v>Good</v>
      </c>
    </row>
    <row r="37" spans="1:17">
      <c r="A37" s="11" t="s">
        <v>103</v>
      </c>
      <c r="B37" s="11" t="s">
        <v>104</v>
      </c>
      <c r="C37" s="11" t="s">
        <v>30</v>
      </c>
      <c r="D37" s="11">
        <v>18</v>
      </c>
      <c r="E37" s="11" t="s">
        <v>20</v>
      </c>
      <c r="F37" s="11" t="s">
        <v>105</v>
      </c>
      <c r="G37" s="11">
        <v>86</v>
      </c>
      <c r="H37" s="11">
        <v>4.2</v>
      </c>
      <c r="I37" s="11">
        <v>38</v>
      </c>
      <c r="J37" s="11">
        <v>57</v>
      </c>
      <c r="K37" s="11">
        <v>53</v>
      </c>
      <c r="L37" s="11">
        <v>61</v>
      </c>
      <c r="M37" s="11">
        <v>62</v>
      </c>
      <c r="N37" s="12">
        <f t="shared" si="0"/>
        <v>271</v>
      </c>
      <c r="O37" s="13">
        <f t="shared" si="1"/>
        <v>54.2</v>
      </c>
      <c r="P37" s="12" t="str">
        <f t="shared" si="2"/>
        <v>Improvement</v>
      </c>
      <c r="Q37" s="12" t="str">
        <f t="shared" si="3"/>
        <v>Bad</v>
      </c>
    </row>
    <row r="38" spans="1:17">
      <c r="A38" s="11" t="s">
        <v>106</v>
      </c>
      <c r="B38" s="11" t="s">
        <v>107</v>
      </c>
      <c r="C38" s="11" t="s">
        <v>30</v>
      </c>
      <c r="D38" s="11">
        <v>18</v>
      </c>
      <c r="E38" s="11" t="s">
        <v>24</v>
      </c>
      <c r="F38" s="11" t="s">
        <v>35</v>
      </c>
      <c r="G38" s="11">
        <v>88</v>
      </c>
      <c r="H38" s="11">
        <v>4.1</v>
      </c>
      <c r="I38" s="11">
        <v>65</v>
      </c>
      <c r="J38" s="11">
        <v>69</v>
      </c>
      <c r="K38" s="11">
        <v>72</v>
      </c>
      <c r="L38" s="11">
        <v>77</v>
      </c>
      <c r="M38" s="11">
        <v>67</v>
      </c>
      <c r="N38" s="12">
        <f t="shared" si="0"/>
        <v>350</v>
      </c>
      <c r="O38" s="13">
        <f t="shared" si="1"/>
        <v>70</v>
      </c>
      <c r="P38" s="12" t="str">
        <f t="shared" si="2"/>
        <v>Improvement</v>
      </c>
      <c r="Q38" s="12" t="str">
        <f t="shared" si="3"/>
        <v>Good</v>
      </c>
    </row>
    <row r="39" spans="1:17">
      <c r="A39" s="11" t="s">
        <v>108</v>
      </c>
      <c r="B39" s="11" t="s">
        <v>81</v>
      </c>
      <c r="C39" s="11" t="s">
        <v>19</v>
      </c>
      <c r="D39" s="11">
        <v>18</v>
      </c>
      <c r="E39" s="11" t="s">
        <v>38</v>
      </c>
      <c r="F39" s="11" t="s">
        <v>39</v>
      </c>
      <c r="G39" s="11">
        <v>89</v>
      </c>
      <c r="H39" s="11">
        <v>1</v>
      </c>
      <c r="I39" s="11">
        <v>34</v>
      </c>
      <c r="J39" s="11">
        <v>30</v>
      </c>
      <c r="K39" s="11">
        <v>40</v>
      </c>
      <c r="L39" s="11">
        <v>52</v>
      </c>
      <c r="M39" s="11">
        <v>43</v>
      </c>
      <c r="N39" s="12">
        <f t="shared" si="0"/>
        <v>199</v>
      </c>
      <c r="O39" s="13">
        <f t="shared" si="1"/>
        <v>39.8</v>
      </c>
      <c r="P39" s="12" t="str">
        <f t="shared" si="2"/>
        <v>Improvement</v>
      </c>
      <c r="Q39" s="12" t="str">
        <f t="shared" si="3"/>
        <v>Very Bad</v>
      </c>
    </row>
    <row r="40" spans="1:17">
      <c r="A40" s="11" t="s">
        <v>109</v>
      </c>
      <c r="B40" s="11" t="s">
        <v>110</v>
      </c>
      <c r="C40" s="11" t="s">
        <v>19</v>
      </c>
      <c r="D40" s="11">
        <v>22</v>
      </c>
      <c r="E40" s="11" t="s">
        <v>48</v>
      </c>
      <c r="F40" s="11" t="s">
        <v>21</v>
      </c>
      <c r="G40" s="11">
        <v>81</v>
      </c>
      <c r="H40" s="11">
        <v>5.8</v>
      </c>
      <c r="I40" s="11">
        <v>66</v>
      </c>
      <c r="J40" s="11">
        <v>68</v>
      </c>
      <c r="K40" s="11">
        <v>61</v>
      </c>
      <c r="L40" s="11">
        <v>66</v>
      </c>
      <c r="M40" s="11">
        <v>70</v>
      </c>
      <c r="N40" s="12">
        <f t="shared" si="0"/>
        <v>331</v>
      </c>
      <c r="O40" s="13">
        <f t="shared" si="1"/>
        <v>66.2</v>
      </c>
      <c r="P40" s="12" t="str">
        <f t="shared" si="2"/>
        <v>Improvement</v>
      </c>
      <c r="Q40" s="12" t="str">
        <f t="shared" si="3"/>
        <v>Good</v>
      </c>
    </row>
    <row r="41" spans="1:17">
      <c r="A41" s="11" t="s">
        <v>111</v>
      </c>
      <c r="B41" s="11" t="s">
        <v>112</v>
      </c>
      <c r="C41" s="11" t="s">
        <v>19</v>
      </c>
      <c r="D41" s="11">
        <v>21</v>
      </c>
      <c r="E41" s="11" t="s">
        <v>27</v>
      </c>
      <c r="F41" s="11" t="s">
        <v>64</v>
      </c>
      <c r="G41" s="11">
        <v>85</v>
      </c>
      <c r="H41" s="11">
        <v>2.2</v>
      </c>
      <c r="I41" s="11">
        <v>61</v>
      </c>
      <c r="J41" s="11">
        <v>47</v>
      </c>
      <c r="K41" s="11">
        <v>69</v>
      </c>
      <c r="L41" s="11">
        <v>57</v>
      </c>
      <c r="M41" s="11">
        <v>58</v>
      </c>
      <c r="N41" s="12">
        <f t="shared" si="0"/>
        <v>292</v>
      </c>
      <c r="O41" s="13">
        <f t="shared" si="1"/>
        <v>58.4</v>
      </c>
      <c r="P41" s="12" t="str">
        <f t="shared" si="2"/>
        <v>Improvement</v>
      </c>
      <c r="Q41" s="12" t="str">
        <f t="shared" si="3"/>
        <v>Bad</v>
      </c>
    </row>
    <row r="42" spans="1:17">
      <c r="A42" s="11" t="s">
        <v>113</v>
      </c>
      <c r="B42" s="11" t="s">
        <v>114</v>
      </c>
      <c r="C42" s="11" t="s">
        <v>19</v>
      </c>
      <c r="D42" s="11">
        <v>20</v>
      </c>
      <c r="E42" s="11" t="s">
        <v>20</v>
      </c>
      <c r="F42" s="11" t="s">
        <v>21</v>
      </c>
      <c r="G42" s="11">
        <v>80</v>
      </c>
      <c r="H42" s="11">
        <v>4.3</v>
      </c>
      <c r="I42" s="11">
        <v>79</v>
      </c>
      <c r="J42" s="11">
        <v>66</v>
      </c>
      <c r="K42" s="11">
        <v>57</v>
      </c>
      <c r="L42" s="11">
        <v>77</v>
      </c>
      <c r="M42" s="11">
        <v>66</v>
      </c>
      <c r="N42" s="12">
        <f t="shared" si="0"/>
        <v>345</v>
      </c>
      <c r="O42" s="13">
        <f t="shared" si="1"/>
        <v>69</v>
      </c>
      <c r="P42" s="12" t="str">
        <f t="shared" si="2"/>
        <v>Improvement</v>
      </c>
      <c r="Q42" s="12" t="str">
        <f t="shared" si="3"/>
        <v>Good</v>
      </c>
    </row>
    <row r="43" spans="1:17">
      <c r="A43" s="11" t="s">
        <v>115</v>
      </c>
      <c r="B43" s="11" t="s">
        <v>116</v>
      </c>
      <c r="C43" s="11" t="s">
        <v>19</v>
      </c>
      <c r="D43" s="11">
        <v>20</v>
      </c>
      <c r="E43" s="11" t="s">
        <v>38</v>
      </c>
      <c r="F43" s="11" t="s">
        <v>64</v>
      </c>
      <c r="G43" s="11">
        <v>85</v>
      </c>
      <c r="H43" s="11">
        <v>6.7</v>
      </c>
      <c r="I43" s="11">
        <v>92</v>
      </c>
      <c r="J43" s="11">
        <v>92</v>
      </c>
      <c r="K43" s="11">
        <v>98</v>
      </c>
      <c r="L43" s="11">
        <v>84</v>
      </c>
      <c r="M43" s="11">
        <v>94</v>
      </c>
      <c r="N43" s="12">
        <f t="shared" si="0"/>
        <v>460</v>
      </c>
      <c r="O43" s="13">
        <f t="shared" si="1"/>
        <v>92</v>
      </c>
      <c r="P43" s="12" t="str">
        <f t="shared" si="2"/>
        <v>TopPerformer</v>
      </c>
      <c r="Q43" s="12" t="str">
        <f t="shared" si="3"/>
        <v>Excellent</v>
      </c>
    </row>
    <row r="44" spans="1:17">
      <c r="A44" s="11" t="s">
        <v>117</v>
      </c>
      <c r="B44" s="11" t="s">
        <v>118</v>
      </c>
      <c r="C44" s="11" t="s">
        <v>19</v>
      </c>
      <c r="D44" s="11">
        <v>18</v>
      </c>
      <c r="E44" s="11" t="s">
        <v>20</v>
      </c>
      <c r="F44" s="11" t="s">
        <v>44</v>
      </c>
      <c r="G44" s="11">
        <v>67</v>
      </c>
      <c r="H44" s="11">
        <v>1</v>
      </c>
      <c r="I44" s="11">
        <v>38</v>
      </c>
      <c r="J44" s="11">
        <v>40</v>
      </c>
      <c r="K44" s="11">
        <v>57</v>
      </c>
      <c r="L44" s="11">
        <v>51</v>
      </c>
      <c r="M44" s="11">
        <v>34</v>
      </c>
      <c r="N44" s="12">
        <f t="shared" si="0"/>
        <v>220</v>
      </c>
      <c r="O44" s="13">
        <f t="shared" si="1"/>
        <v>44</v>
      </c>
      <c r="P44" s="12" t="str">
        <f t="shared" si="2"/>
        <v>Improvement</v>
      </c>
      <c r="Q44" s="12" t="str">
        <f t="shared" si="3"/>
        <v>Bad</v>
      </c>
    </row>
    <row r="45" spans="1:17">
      <c r="A45" s="11" t="s">
        <v>119</v>
      </c>
      <c r="B45" s="11" t="s">
        <v>120</v>
      </c>
      <c r="C45" s="11" t="s">
        <v>19</v>
      </c>
      <c r="D45" s="11">
        <v>20</v>
      </c>
      <c r="E45" s="11" t="s">
        <v>48</v>
      </c>
      <c r="F45" s="11" t="s">
        <v>35</v>
      </c>
      <c r="G45" s="11">
        <v>83</v>
      </c>
      <c r="H45" s="11">
        <v>4.7</v>
      </c>
      <c r="I45" s="11">
        <v>74</v>
      </c>
      <c r="J45" s="11">
        <v>57</v>
      </c>
      <c r="K45" s="11">
        <v>66</v>
      </c>
      <c r="L45" s="11">
        <v>86</v>
      </c>
      <c r="M45" s="11">
        <v>67</v>
      </c>
      <c r="N45" s="12">
        <f t="shared" si="0"/>
        <v>350</v>
      </c>
      <c r="O45" s="13">
        <f t="shared" si="1"/>
        <v>70</v>
      </c>
      <c r="P45" s="12" t="str">
        <f t="shared" si="2"/>
        <v>Improvement</v>
      </c>
      <c r="Q45" s="12" t="str">
        <f t="shared" si="3"/>
        <v>Good</v>
      </c>
    </row>
    <row r="46" spans="1:17">
      <c r="A46" s="11" t="s">
        <v>121</v>
      </c>
      <c r="B46" s="11" t="s">
        <v>122</v>
      </c>
      <c r="C46" s="11" t="s">
        <v>30</v>
      </c>
      <c r="D46" s="11">
        <v>18</v>
      </c>
      <c r="E46" s="11" t="s">
        <v>27</v>
      </c>
      <c r="F46" s="11" t="s">
        <v>52</v>
      </c>
      <c r="G46" s="11">
        <v>81</v>
      </c>
      <c r="H46" s="11">
        <v>3.5</v>
      </c>
      <c r="I46" s="11">
        <v>61</v>
      </c>
      <c r="J46" s="11">
        <v>51</v>
      </c>
      <c r="K46" s="11">
        <v>63</v>
      </c>
      <c r="L46" s="11">
        <v>66</v>
      </c>
      <c r="M46" s="11">
        <v>60</v>
      </c>
      <c r="N46" s="12">
        <f t="shared" si="0"/>
        <v>301</v>
      </c>
      <c r="O46" s="13">
        <f t="shared" si="1"/>
        <v>60.2</v>
      </c>
      <c r="P46" s="12" t="str">
        <f t="shared" si="2"/>
        <v>Improvement</v>
      </c>
      <c r="Q46" s="12" t="str">
        <f t="shared" si="3"/>
        <v>Good</v>
      </c>
    </row>
    <row r="47" spans="1:17">
      <c r="A47" s="11" t="s">
        <v>123</v>
      </c>
      <c r="B47" s="11" t="s">
        <v>124</v>
      </c>
      <c r="C47" s="11" t="s">
        <v>19</v>
      </c>
      <c r="D47" s="11">
        <v>20</v>
      </c>
      <c r="E47" s="11" t="s">
        <v>20</v>
      </c>
      <c r="F47" s="11" t="s">
        <v>31</v>
      </c>
      <c r="G47" s="11">
        <v>90</v>
      </c>
      <c r="H47" s="11">
        <v>1.1</v>
      </c>
      <c r="I47" s="11">
        <v>37</v>
      </c>
      <c r="J47" s="11">
        <v>41</v>
      </c>
      <c r="K47" s="11">
        <v>64</v>
      </c>
      <c r="L47" s="11">
        <v>60</v>
      </c>
      <c r="M47" s="11">
        <v>47</v>
      </c>
      <c r="N47" s="12">
        <f t="shared" si="0"/>
        <v>249</v>
      </c>
      <c r="O47" s="13">
        <f t="shared" si="1"/>
        <v>49.8</v>
      </c>
      <c r="P47" s="12" t="str">
        <f t="shared" si="2"/>
        <v>Improvement</v>
      </c>
      <c r="Q47" s="12" t="str">
        <f t="shared" si="3"/>
        <v>Bad</v>
      </c>
    </row>
    <row r="48" spans="1:17">
      <c r="A48" s="11" t="s">
        <v>125</v>
      </c>
      <c r="B48" s="11" t="s">
        <v>126</v>
      </c>
      <c r="C48" s="11" t="s">
        <v>30</v>
      </c>
      <c r="D48" s="11">
        <v>20</v>
      </c>
      <c r="E48" s="11" t="s">
        <v>20</v>
      </c>
      <c r="F48" s="11" t="s">
        <v>52</v>
      </c>
      <c r="G48" s="11">
        <v>100</v>
      </c>
      <c r="H48" s="11">
        <v>4.5</v>
      </c>
      <c r="I48" s="11">
        <v>71</v>
      </c>
      <c r="J48" s="11">
        <v>55</v>
      </c>
      <c r="K48" s="11">
        <v>65</v>
      </c>
      <c r="L48" s="11">
        <v>68</v>
      </c>
      <c r="M48" s="11">
        <v>66</v>
      </c>
      <c r="N48" s="12">
        <f t="shared" si="0"/>
        <v>325</v>
      </c>
      <c r="O48" s="13">
        <f t="shared" si="1"/>
        <v>65</v>
      </c>
      <c r="P48" s="12" t="str">
        <f t="shared" si="2"/>
        <v>Improvement</v>
      </c>
      <c r="Q48" s="12" t="str">
        <f t="shared" si="3"/>
        <v>Good</v>
      </c>
    </row>
    <row r="49" spans="1:17">
      <c r="A49" s="11" t="s">
        <v>127</v>
      </c>
      <c r="B49" s="11" t="s">
        <v>128</v>
      </c>
      <c r="C49" s="11" t="s">
        <v>30</v>
      </c>
      <c r="D49" s="11">
        <v>20</v>
      </c>
      <c r="E49" s="11" t="s">
        <v>24</v>
      </c>
      <c r="F49" s="11" t="s">
        <v>31</v>
      </c>
      <c r="G49" s="11">
        <v>75</v>
      </c>
      <c r="H49" s="11">
        <v>5.1</v>
      </c>
      <c r="I49" s="11">
        <v>72</v>
      </c>
      <c r="J49" s="11">
        <v>72</v>
      </c>
      <c r="K49" s="11">
        <v>90</v>
      </c>
      <c r="L49" s="11">
        <v>78</v>
      </c>
      <c r="M49" s="11">
        <v>91</v>
      </c>
      <c r="N49" s="12">
        <f t="shared" si="0"/>
        <v>403</v>
      </c>
      <c r="O49" s="13">
        <f t="shared" si="1"/>
        <v>80.6</v>
      </c>
      <c r="P49" s="12" t="str">
        <f t="shared" si="2"/>
        <v>TopPerformer</v>
      </c>
      <c r="Q49" s="12" t="str">
        <f t="shared" si="3"/>
        <v>Excellent</v>
      </c>
    </row>
    <row r="50" spans="1:17">
      <c r="A50" s="11" t="s">
        <v>129</v>
      </c>
      <c r="B50" s="11" t="s">
        <v>130</v>
      </c>
      <c r="C50" s="11" t="s">
        <v>30</v>
      </c>
      <c r="D50" s="11">
        <v>22</v>
      </c>
      <c r="E50" s="11" t="s">
        <v>38</v>
      </c>
      <c r="F50" s="11" t="s">
        <v>21</v>
      </c>
      <c r="G50" s="11">
        <v>84</v>
      </c>
      <c r="H50" s="11">
        <v>6.1</v>
      </c>
      <c r="I50" s="11">
        <v>64</v>
      </c>
      <c r="J50" s="11">
        <v>68</v>
      </c>
      <c r="K50" s="11">
        <v>75</v>
      </c>
      <c r="L50" s="11">
        <v>59</v>
      </c>
      <c r="M50" s="11">
        <v>76</v>
      </c>
      <c r="N50" s="12">
        <f t="shared" si="0"/>
        <v>342</v>
      </c>
      <c r="O50" s="13">
        <f t="shared" si="1"/>
        <v>68.4</v>
      </c>
      <c r="P50" s="12" t="str">
        <f t="shared" si="2"/>
        <v>Improvement</v>
      </c>
      <c r="Q50" s="12" t="str">
        <f t="shared" si="3"/>
        <v>Good</v>
      </c>
    </row>
    <row r="51" spans="1:17">
      <c r="A51" s="11" t="s">
        <v>131</v>
      </c>
      <c r="B51" s="11" t="s">
        <v>132</v>
      </c>
      <c r="C51" s="11" t="s">
        <v>19</v>
      </c>
      <c r="D51" s="11">
        <v>21</v>
      </c>
      <c r="E51" s="11" t="s">
        <v>24</v>
      </c>
      <c r="F51" s="11" t="s">
        <v>44</v>
      </c>
      <c r="G51" s="11">
        <v>74</v>
      </c>
      <c r="H51" s="11">
        <v>1.3</v>
      </c>
      <c r="I51" s="11">
        <v>49</v>
      </c>
      <c r="J51" s="11">
        <v>45</v>
      </c>
      <c r="K51" s="11">
        <v>45</v>
      </c>
      <c r="L51" s="11">
        <v>45</v>
      </c>
      <c r="M51" s="11">
        <v>48</v>
      </c>
      <c r="N51" s="12">
        <f t="shared" si="0"/>
        <v>232</v>
      </c>
      <c r="O51" s="13">
        <f t="shared" si="1"/>
        <v>46.4</v>
      </c>
      <c r="P51" s="12" t="str">
        <f t="shared" si="2"/>
        <v>Improvement</v>
      </c>
      <c r="Q51" s="12" t="str">
        <f t="shared" si="3"/>
        <v>Bad</v>
      </c>
    </row>
    <row r="52" spans="1:17">
      <c r="A52" s="11" t="s">
        <v>133</v>
      </c>
      <c r="B52" s="11" t="s">
        <v>134</v>
      </c>
      <c r="C52" s="11" t="s">
        <v>30</v>
      </c>
      <c r="D52" s="11">
        <v>22</v>
      </c>
      <c r="E52" s="11" t="s">
        <v>24</v>
      </c>
      <c r="F52" s="11" t="s">
        <v>105</v>
      </c>
      <c r="G52" s="11">
        <v>85</v>
      </c>
      <c r="H52" s="11">
        <v>4.6</v>
      </c>
      <c r="I52" s="11">
        <v>86</v>
      </c>
      <c r="J52" s="11">
        <v>69</v>
      </c>
      <c r="K52" s="11">
        <v>68</v>
      </c>
      <c r="L52" s="11">
        <v>64</v>
      </c>
      <c r="M52" s="11">
        <v>62</v>
      </c>
      <c r="N52" s="12">
        <f t="shared" si="0"/>
        <v>349</v>
      </c>
      <c r="O52" s="13">
        <f t="shared" si="1"/>
        <v>69.8</v>
      </c>
      <c r="P52" s="12" t="str">
        <f t="shared" si="2"/>
        <v>Improvement</v>
      </c>
      <c r="Q52" s="12" t="str">
        <f t="shared" si="3"/>
        <v>Good</v>
      </c>
    </row>
    <row r="53" spans="1:17">
      <c r="A53" s="11" t="s">
        <v>135</v>
      </c>
      <c r="B53" s="11" t="s">
        <v>136</v>
      </c>
      <c r="C53" s="11" t="s">
        <v>19</v>
      </c>
      <c r="D53" s="11">
        <v>22</v>
      </c>
      <c r="E53" s="11" t="s">
        <v>20</v>
      </c>
      <c r="F53" s="11" t="s">
        <v>64</v>
      </c>
      <c r="G53" s="11">
        <v>74</v>
      </c>
      <c r="H53" s="11">
        <v>3.7</v>
      </c>
      <c r="I53" s="11">
        <v>65</v>
      </c>
      <c r="J53" s="11">
        <v>58</v>
      </c>
      <c r="K53" s="11">
        <v>72</v>
      </c>
      <c r="L53" s="11">
        <v>70</v>
      </c>
      <c r="M53" s="11">
        <v>63</v>
      </c>
      <c r="N53" s="12">
        <f t="shared" si="0"/>
        <v>328</v>
      </c>
      <c r="O53" s="13">
        <f t="shared" si="1"/>
        <v>65.6</v>
      </c>
      <c r="P53" s="12" t="str">
        <f t="shared" si="2"/>
        <v>Improvement</v>
      </c>
      <c r="Q53" s="12" t="str">
        <f t="shared" si="3"/>
        <v>Good</v>
      </c>
    </row>
    <row r="54" spans="1:17">
      <c r="A54" s="11" t="s">
        <v>137</v>
      </c>
      <c r="B54" s="11" t="s">
        <v>23</v>
      </c>
      <c r="C54" s="11" t="s">
        <v>30</v>
      </c>
      <c r="D54" s="11">
        <v>20</v>
      </c>
      <c r="E54" s="11" t="s">
        <v>20</v>
      </c>
      <c r="F54" s="11" t="s">
        <v>105</v>
      </c>
      <c r="G54" s="11">
        <v>68</v>
      </c>
      <c r="H54" s="11">
        <v>3.7</v>
      </c>
      <c r="I54" s="11">
        <v>55</v>
      </c>
      <c r="J54" s="11">
        <v>64</v>
      </c>
      <c r="K54" s="11">
        <v>51</v>
      </c>
      <c r="L54" s="11">
        <v>73</v>
      </c>
      <c r="M54" s="11">
        <v>73</v>
      </c>
      <c r="N54" s="12">
        <f t="shared" si="0"/>
        <v>316</v>
      </c>
      <c r="O54" s="13">
        <f t="shared" si="1"/>
        <v>63.2</v>
      </c>
      <c r="P54" s="12" t="str">
        <f t="shared" si="2"/>
        <v>Improvement</v>
      </c>
      <c r="Q54" s="12" t="str">
        <f t="shared" si="3"/>
        <v>Good</v>
      </c>
    </row>
    <row r="55" spans="1:17">
      <c r="A55" s="11" t="s">
        <v>138</v>
      </c>
      <c r="B55" s="11" t="s">
        <v>18</v>
      </c>
      <c r="C55" s="11" t="s">
        <v>30</v>
      </c>
      <c r="D55" s="11">
        <v>20</v>
      </c>
      <c r="E55" s="11" t="s">
        <v>27</v>
      </c>
      <c r="F55" s="11" t="s">
        <v>35</v>
      </c>
      <c r="G55" s="11">
        <v>71</v>
      </c>
      <c r="H55" s="11">
        <v>3.4</v>
      </c>
      <c r="I55" s="11">
        <v>58</v>
      </c>
      <c r="J55" s="11">
        <v>69</v>
      </c>
      <c r="K55" s="11">
        <v>43</v>
      </c>
      <c r="L55" s="11">
        <v>46</v>
      </c>
      <c r="M55" s="11">
        <v>55</v>
      </c>
      <c r="N55" s="12">
        <f t="shared" si="0"/>
        <v>271</v>
      </c>
      <c r="O55" s="13">
        <f t="shared" si="1"/>
        <v>54.2</v>
      </c>
      <c r="P55" s="12" t="str">
        <f t="shared" si="2"/>
        <v>Improvement</v>
      </c>
      <c r="Q55" s="12" t="str">
        <f t="shared" si="3"/>
        <v>Bad</v>
      </c>
    </row>
    <row r="56" spans="1:17">
      <c r="A56" s="11" t="s">
        <v>139</v>
      </c>
      <c r="B56" s="11" t="s">
        <v>140</v>
      </c>
      <c r="C56" s="11" t="s">
        <v>19</v>
      </c>
      <c r="D56" s="11">
        <v>18</v>
      </c>
      <c r="E56" s="11" t="s">
        <v>27</v>
      </c>
      <c r="F56" s="11" t="s">
        <v>105</v>
      </c>
      <c r="G56" s="11">
        <v>98</v>
      </c>
      <c r="H56" s="11">
        <v>1.3</v>
      </c>
      <c r="I56" s="11">
        <v>45</v>
      </c>
      <c r="J56" s="11">
        <v>45</v>
      </c>
      <c r="K56" s="11">
        <v>55</v>
      </c>
      <c r="L56" s="11">
        <v>51</v>
      </c>
      <c r="M56" s="11">
        <v>35</v>
      </c>
      <c r="N56" s="12">
        <f t="shared" si="0"/>
        <v>231</v>
      </c>
      <c r="O56" s="13">
        <f t="shared" si="1"/>
        <v>46.2</v>
      </c>
      <c r="P56" s="12" t="str">
        <f t="shared" si="2"/>
        <v>Improvement</v>
      </c>
      <c r="Q56" s="12" t="str">
        <f t="shared" si="3"/>
        <v>Bad</v>
      </c>
    </row>
    <row r="57" spans="1:17">
      <c r="A57" s="11" t="s">
        <v>141</v>
      </c>
      <c r="B57" s="11" t="s">
        <v>142</v>
      </c>
      <c r="C57" s="11" t="s">
        <v>19</v>
      </c>
      <c r="D57" s="11">
        <v>21</v>
      </c>
      <c r="E57" s="11" t="s">
        <v>48</v>
      </c>
      <c r="F57" s="11" t="s">
        <v>39</v>
      </c>
      <c r="G57" s="11">
        <v>76</v>
      </c>
      <c r="H57" s="11">
        <v>2.8</v>
      </c>
      <c r="I57" s="11">
        <v>69</v>
      </c>
      <c r="J57" s="11">
        <v>66</v>
      </c>
      <c r="K57" s="11">
        <v>49</v>
      </c>
      <c r="L57" s="11">
        <v>67</v>
      </c>
      <c r="M57" s="11">
        <v>54</v>
      </c>
      <c r="N57" s="12">
        <f t="shared" si="0"/>
        <v>305</v>
      </c>
      <c r="O57" s="13">
        <f t="shared" si="1"/>
        <v>61</v>
      </c>
      <c r="P57" s="12" t="str">
        <f t="shared" si="2"/>
        <v>Improvement</v>
      </c>
      <c r="Q57" s="12" t="str">
        <f t="shared" si="3"/>
        <v>Good</v>
      </c>
    </row>
    <row r="58" spans="1:17">
      <c r="A58" s="11" t="s">
        <v>143</v>
      </c>
      <c r="B58" s="11" t="s">
        <v>144</v>
      </c>
      <c r="C58" s="11" t="s">
        <v>30</v>
      </c>
      <c r="D58" s="11">
        <v>21</v>
      </c>
      <c r="E58" s="11" t="s">
        <v>48</v>
      </c>
      <c r="F58" s="11" t="s">
        <v>21</v>
      </c>
      <c r="G58" s="11">
        <v>74</v>
      </c>
      <c r="H58" s="11">
        <v>1.9</v>
      </c>
      <c r="I58" s="11">
        <v>62</v>
      </c>
      <c r="J58" s="11">
        <v>55</v>
      </c>
      <c r="K58" s="11">
        <v>71</v>
      </c>
      <c r="L58" s="11">
        <v>56</v>
      </c>
      <c r="M58" s="11">
        <v>60</v>
      </c>
      <c r="N58" s="12">
        <f t="shared" si="0"/>
        <v>304</v>
      </c>
      <c r="O58" s="13">
        <f t="shared" si="1"/>
        <v>60.8</v>
      </c>
      <c r="P58" s="12" t="str">
        <f t="shared" si="2"/>
        <v>Improvement</v>
      </c>
      <c r="Q58" s="12" t="str">
        <f t="shared" si="3"/>
        <v>Good</v>
      </c>
    </row>
    <row r="59" spans="1:17">
      <c r="A59" s="11" t="s">
        <v>145</v>
      </c>
      <c r="B59" s="11" t="s">
        <v>146</v>
      </c>
      <c r="C59" s="11" t="s">
        <v>30</v>
      </c>
      <c r="D59" s="11">
        <v>20</v>
      </c>
      <c r="E59" s="11" t="s">
        <v>48</v>
      </c>
      <c r="F59" s="11" t="s">
        <v>39</v>
      </c>
      <c r="G59" s="11">
        <v>77</v>
      </c>
      <c r="H59" s="11">
        <v>3.2</v>
      </c>
      <c r="I59" s="11">
        <v>62</v>
      </c>
      <c r="J59" s="11">
        <v>51</v>
      </c>
      <c r="K59" s="11">
        <v>83</v>
      </c>
      <c r="L59" s="11">
        <v>91</v>
      </c>
      <c r="M59" s="11">
        <v>67</v>
      </c>
      <c r="N59" s="12">
        <f t="shared" si="0"/>
        <v>354</v>
      </c>
      <c r="O59" s="13">
        <f t="shared" si="1"/>
        <v>70.8</v>
      </c>
      <c r="P59" s="12" t="str">
        <f t="shared" si="2"/>
        <v>Improvement</v>
      </c>
      <c r="Q59" s="12" t="str">
        <f t="shared" si="3"/>
        <v>Good</v>
      </c>
    </row>
    <row r="60" spans="1:17">
      <c r="A60" s="11" t="s">
        <v>147</v>
      </c>
      <c r="B60" s="11" t="s">
        <v>148</v>
      </c>
      <c r="C60" s="11" t="s">
        <v>30</v>
      </c>
      <c r="D60" s="11">
        <v>18</v>
      </c>
      <c r="E60" s="11" t="s">
        <v>20</v>
      </c>
      <c r="F60" s="11" t="s">
        <v>105</v>
      </c>
      <c r="G60" s="11">
        <v>80</v>
      </c>
      <c r="H60" s="11">
        <v>2.1</v>
      </c>
      <c r="I60" s="11">
        <v>65</v>
      </c>
      <c r="J60" s="11">
        <v>49</v>
      </c>
      <c r="K60" s="11">
        <v>67</v>
      </c>
      <c r="L60" s="11">
        <v>77</v>
      </c>
      <c r="M60" s="11">
        <v>62</v>
      </c>
      <c r="N60" s="12">
        <f t="shared" si="0"/>
        <v>320</v>
      </c>
      <c r="O60" s="13">
        <f t="shared" si="1"/>
        <v>64</v>
      </c>
      <c r="P60" s="12" t="str">
        <f t="shared" si="2"/>
        <v>Improvement</v>
      </c>
      <c r="Q60" s="12" t="str">
        <f t="shared" si="3"/>
        <v>Good</v>
      </c>
    </row>
    <row r="61" spans="1:17">
      <c r="A61" s="11" t="s">
        <v>149</v>
      </c>
      <c r="B61" s="11" t="s">
        <v>150</v>
      </c>
      <c r="C61" s="11" t="s">
        <v>30</v>
      </c>
      <c r="D61" s="11">
        <v>18</v>
      </c>
      <c r="E61" s="11" t="s">
        <v>38</v>
      </c>
      <c r="F61" s="11" t="s">
        <v>64</v>
      </c>
      <c r="G61" s="11">
        <v>66</v>
      </c>
      <c r="H61" s="11">
        <v>4</v>
      </c>
      <c r="I61" s="11">
        <v>74</v>
      </c>
      <c r="J61" s="11">
        <v>57</v>
      </c>
      <c r="K61" s="11">
        <v>72</v>
      </c>
      <c r="L61" s="11">
        <v>50</v>
      </c>
      <c r="M61" s="11">
        <v>63</v>
      </c>
      <c r="N61" s="12">
        <f t="shared" si="0"/>
        <v>316</v>
      </c>
      <c r="O61" s="13">
        <f t="shared" si="1"/>
        <v>63.2</v>
      </c>
      <c r="P61" s="12" t="str">
        <f t="shared" si="2"/>
        <v>Improvement</v>
      </c>
      <c r="Q61" s="12" t="str">
        <f t="shared" si="3"/>
        <v>Good</v>
      </c>
    </row>
    <row r="62" spans="1:17">
      <c r="A62" s="11" t="s">
        <v>151</v>
      </c>
      <c r="B62" s="11" t="s">
        <v>152</v>
      </c>
      <c r="C62" s="11" t="s">
        <v>30</v>
      </c>
      <c r="D62" s="11">
        <v>22</v>
      </c>
      <c r="E62" s="11" t="s">
        <v>20</v>
      </c>
      <c r="F62" s="11" t="s">
        <v>35</v>
      </c>
      <c r="G62" s="11">
        <v>92</v>
      </c>
      <c r="H62" s="11">
        <v>3.3</v>
      </c>
      <c r="I62" s="11">
        <v>52</v>
      </c>
      <c r="J62" s="11">
        <v>45</v>
      </c>
      <c r="K62" s="11">
        <v>50</v>
      </c>
      <c r="L62" s="11">
        <v>52</v>
      </c>
      <c r="M62" s="11">
        <v>39</v>
      </c>
      <c r="N62" s="12">
        <f t="shared" si="0"/>
        <v>238</v>
      </c>
      <c r="O62" s="13">
        <f t="shared" si="1"/>
        <v>47.6</v>
      </c>
      <c r="P62" s="12" t="str">
        <f t="shared" si="2"/>
        <v>Improvement</v>
      </c>
      <c r="Q62" s="12" t="str">
        <f t="shared" si="3"/>
        <v>Bad</v>
      </c>
    </row>
    <row r="63" spans="1:17">
      <c r="A63" s="11" t="s">
        <v>153</v>
      </c>
      <c r="B63" s="11" t="s">
        <v>154</v>
      </c>
      <c r="C63" s="11" t="s">
        <v>30</v>
      </c>
      <c r="D63" s="11">
        <v>19</v>
      </c>
      <c r="E63" s="11" t="s">
        <v>27</v>
      </c>
      <c r="F63" s="11" t="s">
        <v>64</v>
      </c>
      <c r="G63" s="11">
        <v>58</v>
      </c>
      <c r="H63" s="11">
        <v>5</v>
      </c>
      <c r="I63" s="11">
        <v>60</v>
      </c>
      <c r="J63" s="11">
        <v>55</v>
      </c>
      <c r="K63" s="11">
        <v>72</v>
      </c>
      <c r="L63" s="11">
        <v>68</v>
      </c>
      <c r="M63" s="11">
        <v>85</v>
      </c>
      <c r="N63" s="12">
        <f t="shared" si="0"/>
        <v>340</v>
      </c>
      <c r="O63" s="13">
        <f t="shared" si="1"/>
        <v>68</v>
      </c>
      <c r="P63" s="12" t="str">
        <f t="shared" si="2"/>
        <v>Improvement</v>
      </c>
      <c r="Q63" s="12" t="str">
        <f t="shared" si="3"/>
        <v>Good</v>
      </c>
    </row>
    <row r="64" spans="1:17">
      <c r="A64" s="11" t="s">
        <v>155</v>
      </c>
      <c r="B64" s="11" t="s">
        <v>156</v>
      </c>
      <c r="C64" s="11" t="s">
        <v>19</v>
      </c>
      <c r="D64" s="11">
        <v>20</v>
      </c>
      <c r="E64" s="11" t="s">
        <v>48</v>
      </c>
      <c r="F64" s="11" t="s">
        <v>21</v>
      </c>
      <c r="G64" s="11">
        <v>89</v>
      </c>
      <c r="H64" s="11">
        <v>4.7</v>
      </c>
      <c r="I64" s="11">
        <v>74</v>
      </c>
      <c r="J64" s="11">
        <v>75</v>
      </c>
      <c r="K64" s="11">
        <v>74</v>
      </c>
      <c r="L64" s="11">
        <v>84</v>
      </c>
      <c r="M64" s="11">
        <v>90</v>
      </c>
      <c r="N64" s="12">
        <f t="shared" si="0"/>
        <v>397</v>
      </c>
      <c r="O64" s="13">
        <f t="shared" si="1"/>
        <v>79.4</v>
      </c>
      <c r="P64" s="12" t="str">
        <f t="shared" si="2"/>
        <v>Improvement</v>
      </c>
      <c r="Q64" s="12" t="str">
        <f t="shared" si="3"/>
        <v>Good</v>
      </c>
    </row>
    <row r="65" spans="1:17">
      <c r="A65" s="11" t="s">
        <v>157</v>
      </c>
      <c r="B65" s="11" t="s">
        <v>158</v>
      </c>
      <c r="C65" s="11" t="s">
        <v>19</v>
      </c>
      <c r="D65" s="11">
        <v>21</v>
      </c>
      <c r="E65" s="11" t="s">
        <v>27</v>
      </c>
      <c r="F65" s="11" t="s">
        <v>64</v>
      </c>
      <c r="G65" s="11">
        <v>79</v>
      </c>
      <c r="H65" s="11">
        <v>5.2</v>
      </c>
      <c r="I65" s="11">
        <v>47</v>
      </c>
      <c r="J65" s="11">
        <v>47</v>
      </c>
      <c r="K65" s="11">
        <v>35</v>
      </c>
      <c r="L65" s="11">
        <v>46</v>
      </c>
      <c r="M65" s="11">
        <v>46</v>
      </c>
      <c r="N65" s="12">
        <f t="shared" si="0"/>
        <v>221</v>
      </c>
      <c r="O65" s="13">
        <f t="shared" si="1"/>
        <v>44.2</v>
      </c>
      <c r="P65" s="12" t="str">
        <f t="shared" si="2"/>
        <v>Improvement</v>
      </c>
      <c r="Q65" s="12" t="str">
        <f t="shared" si="3"/>
        <v>Bad</v>
      </c>
    </row>
    <row r="66" spans="1:17">
      <c r="A66" s="11" t="s">
        <v>159</v>
      </c>
      <c r="B66" s="11" t="s">
        <v>160</v>
      </c>
      <c r="C66" s="11" t="s">
        <v>19</v>
      </c>
      <c r="D66" s="11">
        <v>18</v>
      </c>
      <c r="E66" s="11" t="s">
        <v>34</v>
      </c>
      <c r="F66" s="11" t="s">
        <v>39</v>
      </c>
      <c r="G66" s="11">
        <v>72</v>
      </c>
      <c r="H66" s="11">
        <v>3.7</v>
      </c>
      <c r="I66" s="11">
        <v>61</v>
      </c>
      <c r="J66" s="11">
        <v>62</v>
      </c>
      <c r="K66" s="11">
        <v>73</v>
      </c>
      <c r="L66" s="11">
        <v>67</v>
      </c>
      <c r="M66" s="11">
        <v>74</v>
      </c>
      <c r="N66" s="12">
        <f t="shared" ref="N66:N129" si="4">SUM(I66:M66)</f>
        <v>337</v>
      </c>
      <c r="O66" s="13">
        <f t="shared" ref="O66:O129" si="5">AVERAGE(N66/5)</f>
        <v>67.4</v>
      </c>
      <c r="P66" s="12" t="str">
        <f t="shared" ref="P66:P129" si="6">IF(N66&gt;=400,"TopPerformer","Improvement")</f>
        <v>Improvement</v>
      </c>
      <c r="Q66" s="12" t="str">
        <f t="shared" ref="Q66:Q129" si="7">IF(N66&gt;=400,"Excellent",IF(N66&gt;=300,"Good",IF(N66&gt;=200,"Bad","Very Bad")))</f>
        <v>Good</v>
      </c>
    </row>
    <row r="67" spans="1:17">
      <c r="A67" s="11" t="s">
        <v>161</v>
      </c>
      <c r="B67" s="11" t="s">
        <v>152</v>
      </c>
      <c r="C67" s="11" t="s">
        <v>19</v>
      </c>
      <c r="D67" s="11">
        <v>20</v>
      </c>
      <c r="E67" s="11" t="s">
        <v>38</v>
      </c>
      <c r="F67" s="11" t="s">
        <v>21</v>
      </c>
      <c r="G67" s="11">
        <v>81</v>
      </c>
      <c r="H67" s="11">
        <v>3.5</v>
      </c>
      <c r="I67" s="11">
        <v>42</v>
      </c>
      <c r="J67" s="11">
        <v>60</v>
      </c>
      <c r="K67" s="11">
        <v>52</v>
      </c>
      <c r="L67" s="11">
        <v>46</v>
      </c>
      <c r="M67" s="11">
        <v>54</v>
      </c>
      <c r="N67" s="12">
        <f t="shared" si="4"/>
        <v>254</v>
      </c>
      <c r="O67" s="13">
        <f t="shared" si="5"/>
        <v>50.8</v>
      </c>
      <c r="P67" s="12" t="str">
        <f t="shared" si="6"/>
        <v>Improvement</v>
      </c>
      <c r="Q67" s="12" t="str">
        <f t="shared" si="7"/>
        <v>Bad</v>
      </c>
    </row>
    <row r="68" spans="1:17">
      <c r="A68" s="11" t="s">
        <v>162</v>
      </c>
      <c r="B68" s="11" t="s">
        <v>163</v>
      </c>
      <c r="C68" s="11" t="s">
        <v>19</v>
      </c>
      <c r="D68" s="11">
        <v>22</v>
      </c>
      <c r="E68" s="11" t="s">
        <v>34</v>
      </c>
      <c r="F68" s="11" t="s">
        <v>44</v>
      </c>
      <c r="G68" s="11">
        <v>73</v>
      </c>
      <c r="H68" s="11">
        <v>6</v>
      </c>
      <c r="I68" s="11">
        <v>79</v>
      </c>
      <c r="J68" s="11">
        <v>64</v>
      </c>
      <c r="K68" s="11">
        <v>64</v>
      </c>
      <c r="L68" s="11">
        <v>77</v>
      </c>
      <c r="M68" s="11">
        <v>74</v>
      </c>
      <c r="N68" s="12">
        <f t="shared" si="4"/>
        <v>358</v>
      </c>
      <c r="O68" s="13">
        <f t="shared" si="5"/>
        <v>71.6</v>
      </c>
      <c r="P68" s="12" t="str">
        <f t="shared" si="6"/>
        <v>Improvement</v>
      </c>
      <c r="Q68" s="12" t="str">
        <f t="shared" si="7"/>
        <v>Good</v>
      </c>
    </row>
    <row r="69" spans="1:17">
      <c r="A69" s="11" t="s">
        <v>164</v>
      </c>
      <c r="B69" s="11" t="s">
        <v>165</v>
      </c>
      <c r="C69" s="11" t="s">
        <v>30</v>
      </c>
      <c r="D69" s="11">
        <v>18</v>
      </c>
      <c r="E69" s="11" t="s">
        <v>38</v>
      </c>
      <c r="F69" s="11" t="s">
        <v>52</v>
      </c>
      <c r="G69" s="11">
        <v>83</v>
      </c>
      <c r="H69" s="11">
        <v>5</v>
      </c>
      <c r="I69" s="11">
        <v>62</v>
      </c>
      <c r="J69" s="11">
        <v>57</v>
      </c>
      <c r="K69" s="11">
        <v>83</v>
      </c>
      <c r="L69" s="11">
        <v>84</v>
      </c>
      <c r="M69" s="11">
        <v>67</v>
      </c>
      <c r="N69" s="12">
        <f t="shared" si="4"/>
        <v>353</v>
      </c>
      <c r="O69" s="13">
        <f t="shared" si="5"/>
        <v>70.6</v>
      </c>
      <c r="P69" s="12" t="str">
        <f t="shared" si="6"/>
        <v>Improvement</v>
      </c>
      <c r="Q69" s="12" t="str">
        <f t="shared" si="7"/>
        <v>Good</v>
      </c>
    </row>
    <row r="70" spans="1:17">
      <c r="A70" s="11" t="s">
        <v>166</v>
      </c>
      <c r="B70" s="11" t="s">
        <v>167</v>
      </c>
      <c r="C70" s="11" t="s">
        <v>30</v>
      </c>
      <c r="D70" s="11">
        <v>19</v>
      </c>
      <c r="E70" s="11" t="s">
        <v>38</v>
      </c>
      <c r="F70" s="11" t="s">
        <v>21</v>
      </c>
      <c r="G70" s="11">
        <v>98</v>
      </c>
      <c r="H70" s="11">
        <v>4.6</v>
      </c>
      <c r="I70" s="11">
        <v>61</v>
      </c>
      <c r="J70" s="11">
        <v>68</v>
      </c>
      <c r="K70" s="11">
        <v>66</v>
      </c>
      <c r="L70" s="11">
        <v>60</v>
      </c>
      <c r="M70" s="11">
        <v>85</v>
      </c>
      <c r="N70" s="12">
        <f t="shared" si="4"/>
        <v>340</v>
      </c>
      <c r="O70" s="13">
        <f t="shared" si="5"/>
        <v>68</v>
      </c>
      <c r="P70" s="12" t="str">
        <f t="shared" si="6"/>
        <v>Improvement</v>
      </c>
      <c r="Q70" s="12" t="str">
        <f t="shared" si="7"/>
        <v>Good</v>
      </c>
    </row>
    <row r="71" spans="1:17">
      <c r="A71" s="11" t="s">
        <v>168</v>
      </c>
      <c r="B71" s="11" t="s">
        <v>107</v>
      </c>
      <c r="C71" s="11" t="s">
        <v>30</v>
      </c>
      <c r="D71" s="11">
        <v>21</v>
      </c>
      <c r="E71" s="11" t="s">
        <v>20</v>
      </c>
      <c r="F71" s="11" t="s">
        <v>21</v>
      </c>
      <c r="G71" s="11">
        <v>89</v>
      </c>
      <c r="H71" s="11">
        <v>4.8</v>
      </c>
      <c r="I71" s="11">
        <v>83</v>
      </c>
      <c r="J71" s="11">
        <v>78</v>
      </c>
      <c r="K71" s="11">
        <v>79</v>
      </c>
      <c r="L71" s="11">
        <v>78</v>
      </c>
      <c r="M71" s="11">
        <v>76</v>
      </c>
      <c r="N71" s="12">
        <f t="shared" si="4"/>
        <v>394</v>
      </c>
      <c r="O71" s="13">
        <f t="shared" si="5"/>
        <v>78.8</v>
      </c>
      <c r="P71" s="12" t="str">
        <f t="shared" si="6"/>
        <v>Improvement</v>
      </c>
      <c r="Q71" s="12" t="str">
        <f t="shared" si="7"/>
        <v>Good</v>
      </c>
    </row>
    <row r="72" spans="1:17">
      <c r="A72" s="11" t="s">
        <v>169</v>
      </c>
      <c r="B72" s="11" t="s">
        <v>170</v>
      </c>
      <c r="C72" s="11" t="s">
        <v>30</v>
      </c>
      <c r="D72" s="11">
        <v>21</v>
      </c>
      <c r="E72" s="11" t="s">
        <v>38</v>
      </c>
      <c r="F72" s="11" t="s">
        <v>31</v>
      </c>
      <c r="G72" s="11">
        <v>70</v>
      </c>
      <c r="H72" s="11">
        <v>6.3</v>
      </c>
      <c r="I72" s="11">
        <v>95</v>
      </c>
      <c r="J72" s="11">
        <v>86</v>
      </c>
      <c r="K72" s="11">
        <v>95</v>
      </c>
      <c r="L72" s="11">
        <v>84</v>
      </c>
      <c r="M72" s="11">
        <v>85</v>
      </c>
      <c r="N72" s="12">
        <f t="shared" si="4"/>
        <v>445</v>
      </c>
      <c r="O72" s="13">
        <f t="shared" si="5"/>
        <v>89</v>
      </c>
      <c r="P72" s="12" t="str">
        <f t="shared" si="6"/>
        <v>TopPerformer</v>
      </c>
      <c r="Q72" s="12" t="str">
        <f t="shared" si="7"/>
        <v>Excellent</v>
      </c>
    </row>
    <row r="73" spans="1:17">
      <c r="A73" s="11" t="s">
        <v>171</v>
      </c>
      <c r="B73" s="11" t="s">
        <v>172</v>
      </c>
      <c r="C73" s="11" t="s">
        <v>30</v>
      </c>
      <c r="D73" s="11">
        <v>21</v>
      </c>
      <c r="E73" s="11" t="s">
        <v>34</v>
      </c>
      <c r="F73" s="11" t="s">
        <v>64</v>
      </c>
      <c r="G73" s="11">
        <v>70</v>
      </c>
      <c r="H73" s="11">
        <v>3.7</v>
      </c>
      <c r="I73" s="11">
        <v>75</v>
      </c>
      <c r="J73" s="11">
        <v>68</v>
      </c>
      <c r="K73" s="11">
        <v>61</v>
      </c>
      <c r="L73" s="11">
        <v>63</v>
      </c>
      <c r="M73" s="11">
        <v>61</v>
      </c>
      <c r="N73" s="12">
        <f t="shared" si="4"/>
        <v>328</v>
      </c>
      <c r="O73" s="13">
        <f t="shared" si="5"/>
        <v>65.6</v>
      </c>
      <c r="P73" s="12" t="str">
        <f t="shared" si="6"/>
        <v>Improvement</v>
      </c>
      <c r="Q73" s="12" t="str">
        <f t="shared" si="7"/>
        <v>Good</v>
      </c>
    </row>
    <row r="74" spans="1:17">
      <c r="A74" s="11" t="s">
        <v>173</v>
      </c>
      <c r="B74" s="11" t="s">
        <v>174</v>
      </c>
      <c r="C74" s="11" t="s">
        <v>19</v>
      </c>
      <c r="D74" s="11">
        <v>18</v>
      </c>
      <c r="E74" s="11" t="s">
        <v>24</v>
      </c>
      <c r="F74" s="11" t="s">
        <v>105</v>
      </c>
      <c r="G74" s="11">
        <v>75</v>
      </c>
      <c r="H74" s="11">
        <v>1.9</v>
      </c>
      <c r="I74" s="11">
        <v>62</v>
      </c>
      <c r="J74" s="11">
        <v>44</v>
      </c>
      <c r="K74" s="11">
        <v>58</v>
      </c>
      <c r="L74" s="11">
        <v>67</v>
      </c>
      <c r="M74" s="11">
        <v>67</v>
      </c>
      <c r="N74" s="12">
        <f t="shared" si="4"/>
        <v>298</v>
      </c>
      <c r="O74" s="13">
        <f t="shared" si="5"/>
        <v>59.6</v>
      </c>
      <c r="P74" s="12" t="str">
        <f t="shared" si="6"/>
        <v>Improvement</v>
      </c>
      <c r="Q74" s="12" t="str">
        <f t="shared" si="7"/>
        <v>Bad</v>
      </c>
    </row>
    <row r="75" spans="1:17">
      <c r="A75" s="11" t="s">
        <v>175</v>
      </c>
      <c r="B75" s="11" t="s">
        <v>176</v>
      </c>
      <c r="C75" s="11" t="s">
        <v>30</v>
      </c>
      <c r="D75" s="11">
        <v>21</v>
      </c>
      <c r="E75" s="11" t="s">
        <v>34</v>
      </c>
      <c r="F75" s="11" t="s">
        <v>64</v>
      </c>
      <c r="G75" s="11">
        <v>72</v>
      </c>
      <c r="H75" s="11">
        <v>4.3</v>
      </c>
      <c r="I75" s="11">
        <v>77</v>
      </c>
      <c r="J75" s="11">
        <v>75</v>
      </c>
      <c r="K75" s="11">
        <v>66</v>
      </c>
      <c r="L75" s="11">
        <v>57</v>
      </c>
      <c r="M75" s="11">
        <v>64</v>
      </c>
      <c r="N75" s="12">
        <f t="shared" si="4"/>
        <v>339</v>
      </c>
      <c r="O75" s="13">
        <f t="shared" si="5"/>
        <v>67.8</v>
      </c>
      <c r="P75" s="12" t="str">
        <f t="shared" si="6"/>
        <v>Improvement</v>
      </c>
      <c r="Q75" s="12" t="str">
        <f t="shared" si="7"/>
        <v>Good</v>
      </c>
    </row>
    <row r="76" spans="1:17">
      <c r="A76" s="11" t="s">
        <v>177</v>
      </c>
      <c r="B76" s="11" t="s">
        <v>178</v>
      </c>
      <c r="C76" s="11" t="s">
        <v>30</v>
      </c>
      <c r="D76" s="11">
        <v>18</v>
      </c>
      <c r="E76" s="11" t="s">
        <v>38</v>
      </c>
      <c r="F76" s="11" t="s">
        <v>21</v>
      </c>
      <c r="G76" s="11">
        <v>84</v>
      </c>
      <c r="H76" s="11">
        <v>3</v>
      </c>
      <c r="I76" s="11">
        <v>60</v>
      </c>
      <c r="J76" s="11">
        <v>54</v>
      </c>
      <c r="K76" s="11">
        <v>59</v>
      </c>
      <c r="L76" s="11">
        <v>59</v>
      </c>
      <c r="M76" s="11">
        <v>48</v>
      </c>
      <c r="N76" s="12">
        <f t="shared" si="4"/>
        <v>280</v>
      </c>
      <c r="O76" s="13">
        <f t="shared" si="5"/>
        <v>56</v>
      </c>
      <c r="P76" s="12" t="str">
        <f t="shared" si="6"/>
        <v>Improvement</v>
      </c>
      <c r="Q76" s="12" t="str">
        <f t="shared" si="7"/>
        <v>Bad</v>
      </c>
    </row>
    <row r="77" spans="1:17">
      <c r="A77" s="11" t="s">
        <v>179</v>
      </c>
      <c r="B77" s="11" t="s">
        <v>180</v>
      </c>
      <c r="C77" s="11" t="s">
        <v>19</v>
      </c>
      <c r="D77" s="11">
        <v>22</v>
      </c>
      <c r="E77" s="11" t="s">
        <v>34</v>
      </c>
      <c r="F77" s="11" t="s">
        <v>21</v>
      </c>
      <c r="G77" s="11">
        <v>84</v>
      </c>
      <c r="H77" s="11">
        <v>2.1</v>
      </c>
      <c r="I77" s="11">
        <v>30</v>
      </c>
      <c r="J77" s="11">
        <v>43</v>
      </c>
      <c r="K77" s="11">
        <v>43</v>
      </c>
      <c r="L77" s="11">
        <v>42</v>
      </c>
      <c r="M77" s="11">
        <v>53</v>
      </c>
      <c r="N77" s="12">
        <f t="shared" si="4"/>
        <v>211</v>
      </c>
      <c r="O77" s="13">
        <f t="shared" si="5"/>
        <v>42.2</v>
      </c>
      <c r="P77" s="12" t="str">
        <f t="shared" si="6"/>
        <v>Improvement</v>
      </c>
      <c r="Q77" s="12" t="str">
        <f t="shared" si="7"/>
        <v>Bad</v>
      </c>
    </row>
    <row r="78" spans="1:17">
      <c r="A78" s="11" t="s">
        <v>181</v>
      </c>
      <c r="B78" s="11" t="s">
        <v>122</v>
      </c>
      <c r="C78" s="11" t="s">
        <v>30</v>
      </c>
      <c r="D78" s="11">
        <v>22</v>
      </c>
      <c r="E78" s="11" t="s">
        <v>48</v>
      </c>
      <c r="F78" s="11" t="s">
        <v>64</v>
      </c>
      <c r="G78" s="11">
        <v>71</v>
      </c>
      <c r="H78" s="11">
        <v>3.2</v>
      </c>
      <c r="I78" s="11">
        <v>47</v>
      </c>
      <c r="J78" s="11">
        <v>52</v>
      </c>
      <c r="K78" s="11">
        <v>66</v>
      </c>
      <c r="L78" s="11">
        <v>69</v>
      </c>
      <c r="M78" s="11">
        <v>51</v>
      </c>
      <c r="N78" s="12">
        <f t="shared" si="4"/>
        <v>285</v>
      </c>
      <c r="O78" s="13">
        <f t="shared" si="5"/>
        <v>57</v>
      </c>
      <c r="P78" s="12" t="str">
        <f t="shared" si="6"/>
        <v>Improvement</v>
      </c>
      <c r="Q78" s="12" t="str">
        <f t="shared" si="7"/>
        <v>Bad</v>
      </c>
    </row>
    <row r="79" spans="1:17">
      <c r="A79" s="11" t="s">
        <v>182</v>
      </c>
      <c r="B79" s="11" t="s">
        <v>183</v>
      </c>
      <c r="C79" s="11" t="s">
        <v>19</v>
      </c>
      <c r="D79" s="11">
        <v>22</v>
      </c>
      <c r="E79" s="11" t="s">
        <v>20</v>
      </c>
      <c r="F79" s="11" t="s">
        <v>35</v>
      </c>
      <c r="G79" s="11">
        <v>81</v>
      </c>
      <c r="H79" s="11">
        <v>4</v>
      </c>
      <c r="I79" s="11">
        <v>93</v>
      </c>
      <c r="J79" s="11">
        <v>74</v>
      </c>
      <c r="K79" s="11">
        <v>62</v>
      </c>
      <c r="L79" s="11">
        <v>75</v>
      </c>
      <c r="M79" s="11">
        <v>64</v>
      </c>
      <c r="N79" s="12">
        <f t="shared" si="4"/>
        <v>368</v>
      </c>
      <c r="O79" s="13">
        <f t="shared" si="5"/>
        <v>73.6</v>
      </c>
      <c r="P79" s="12" t="str">
        <f t="shared" si="6"/>
        <v>Improvement</v>
      </c>
      <c r="Q79" s="12" t="str">
        <f t="shared" si="7"/>
        <v>Good</v>
      </c>
    </row>
    <row r="80" spans="1:17">
      <c r="A80" s="11" t="s">
        <v>184</v>
      </c>
      <c r="B80" s="11" t="s">
        <v>185</v>
      </c>
      <c r="C80" s="11" t="s">
        <v>30</v>
      </c>
      <c r="D80" s="11">
        <v>19</v>
      </c>
      <c r="E80" s="11" t="s">
        <v>34</v>
      </c>
      <c r="F80" s="11" t="s">
        <v>44</v>
      </c>
      <c r="G80" s="11">
        <v>84</v>
      </c>
      <c r="H80" s="11">
        <v>3.8</v>
      </c>
      <c r="I80" s="11">
        <v>70</v>
      </c>
      <c r="J80" s="11">
        <v>52</v>
      </c>
      <c r="K80" s="11">
        <v>72</v>
      </c>
      <c r="L80" s="11">
        <v>59</v>
      </c>
      <c r="M80" s="11">
        <v>55</v>
      </c>
      <c r="N80" s="12">
        <f t="shared" si="4"/>
        <v>308</v>
      </c>
      <c r="O80" s="13">
        <f t="shared" si="5"/>
        <v>61.6</v>
      </c>
      <c r="P80" s="12" t="str">
        <f t="shared" si="6"/>
        <v>Improvement</v>
      </c>
      <c r="Q80" s="12" t="str">
        <f t="shared" si="7"/>
        <v>Good</v>
      </c>
    </row>
    <row r="81" spans="1:17">
      <c r="A81" s="11" t="s">
        <v>186</v>
      </c>
      <c r="B81" s="11" t="s">
        <v>18</v>
      </c>
      <c r="C81" s="11" t="s">
        <v>19</v>
      </c>
      <c r="D81" s="11">
        <v>19</v>
      </c>
      <c r="E81" s="11" t="s">
        <v>27</v>
      </c>
      <c r="F81" s="11" t="s">
        <v>105</v>
      </c>
      <c r="G81" s="11">
        <v>89</v>
      </c>
      <c r="H81" s="11">
        <v>1.8</v>
      </c>
      <c r="I81" s="11">
        <v>50</v>
      </c>
      <c r="J81" s="11">
        <v>55</v>
      </c>
      <c r="K81" s="11">
        <v>57</v>
      </c>
      <c r="L81" s="11">
        <v>47</v>
      </c>
      <c r="M81" s="11">
        <v>61</v>
      </c>
      <c r="N81" s="12">
        <f t="shared" si="4"/>
        <v>270</v>
      </c>
      <c r="O81" s="13">
        <f t="shared" si="5"/>
        <v>54</v>
      </c>
      <c r="P81" s="12" t="str">
        <f t="shared" si="6"/>
        <v>Improvement</v>
      </c>
      <c r="Q81" s="12" t="str">
        <f t="shared" si="7"/>
        <v>Bad</v>
      </c>
    </row>
    <row r="82" spans="1:17">
      <c r="A82" s="11" t="s">
        <v>187</v>
      </c>
      <c r="B82" s="11" t="s">
        <v>188</v>
      </c>
      <c r="C82" s="11" t="s">
        <v>19</v>
      </c>
      <c r="D82" s="11">
        <v>22</v>
      </c>
      <c r="E82" s="11" t="s">
        <v>20</v>
      </c>
      <c r="F82" s="11" t="s">
        <v>39</v>
      </c>
      <c r="G82" s="11">
        <v>81</v>
      </c>
      <c r="H82" s="11">
        <v>3.5</v>
      </c>
      <c r="I82" s="11">
        <v>62</v>
      </c>
      <c r="J82" s="11">
        <v>64</v>
      </c>
      <c r="K82" s="11">
        <v>70</v>
      </c>
      <c r="L82" s="11">
        <v>53</v>
      </c>
      <c r="M82" s="11">
        <v>53</v>
      </c>
      <c r="N82" s="12">
        <f t="shared" si="4"/>
        <v>302</v>
      </c>
      <c r="O82" s="13">
        <f t="shared" si="5"/>
        <v>60.4</v>
      </c>
      <c r="P82" s="12" t="str">
        <f t="shared" si="6"/>
        <v>Improvement</v>
      </c>
      <c r="Q82" s="12" t="str">
        <f t="shared" si="7"/>
        <v>Good</v>
      </c>
    </row>
    <row r="83" spans="1:17">
      <c r="A83" s="11" t="s">
        <v>189</v>
      </c>
      <c r="B83" s="11" t="s">
        <v>85</v>
      </c>
      <c r="C83" s="11" t="s">
        <v>30</v>
      </c>
      <c r="D83" s="11">
        <v>22</v>
      </c>
      <c r="E83" s="11" t="s">
        <v>38</v>
      </c>
      <c r="F83" s="11" t="s">
        <v>105</v>
      </c>
      <c r="G83" s="11">
        <v>78</v>
      </c>
      <c r="H83" s="11">
        <v>1</v>
      </c>
      <c r="I83" s="11">
        <v>34</v>
      </c>
      <c r="J83" s="11">
        <v>36</v>
      </c>
      <c r="K83" s="11">
        <v>37</v>
      </c>
      <c r="L83" s="11">
        <v>41</v>
      </c>
      <c r="M83" s="11">
        <v>38</v>
      </c>
      <c r="N83" s="12">
        <f t="shared" si="4"/>
        <v>186</v>
      </c>
      <c r="O83" s="13">
        <f t="shared" si="5"/>
        <v>37.2</v>
      </c>
      <c r="P83" s="12" t="str">
        <f t="shared" si="6"/>
        <v>Improvement</v>
      </c>
      <c r="Q83" s="12" t="str">
        <f t="shared" si="7"/>
        <v>Very Bad</v>
      </c>
    </row>
    <row r="84" spans="1:17">
      <c r="A84" s="11" t="s">
        <v>190</v>
      </c>
      <c r="B84" s="11" t="s">
        <v>191</v>
      </c>
      <c r="C84" s="11" t="s">
        <v>19</v>
      </c>
      <c r="D84" s="11">
        <v>20</v>
      </c>
      <c r="E84" s="11" t="s">
        <v>24</v>
      </c>
      <c r="F84" s="11" t="s">
        <v>35</v>
      </c>
      <c r="G84" s="11">
        <v>86</v>
      </c>
      <c r="H84" s="11">
        <v>1.5</v>
      </c>
      <c r="I84" s="11">
        <v>59</v>
      </c>
      <c r="J84" s="11">
        <v>57</v>
      </c>
      <c r="K84" s="11">
        <v>71</v>
      </c>
      <c r="L84" s="11">
        <v>54</v>
      </c>
      <c r="M84" s="11">
        <v>75</v>
      </c>
      <c r="N84" s="12">
        <f t="shared" si="4"/>
        <v>316</v>
      </c>
      <c r="O84" s="13">
        <f t="shared" si="5"/>
        <v>63.2</v>
      </c>
      <c r="P84" s="12" t="str">
        <f t="shared" si="6"/>
        <v>Improvement</v>
      </c>
      <c r="Q84" s="12" t="str">
        <f t="shared" si="7"/>
        <v>Good</v>
      </c>
    </row>
    <row r="85" spans="1:17">
      <c r="A85" s="11" t="s">
        <v>192</v>
      </c>
      <c r="B85" s="11" t="s">
        <v>193</v>
      </c>
      <c r="C85" s="11" t="s">
        <v>19</v>
      </c>
      <c r="D85" s="11">
        <v>19</v>
      </c>
      <c r="E85" s="11" t="s">
        <v>38</v>
      </c>
      <c r="F85" s="11" t="s">
        <v>105</v>
      </c>
      <c r="G85" s="11">
        <v>72</v>
      </c>
      <c r="H85" s="11">
        <v>2.7</v>
      </c>
      <c r="I85" s="11">
        <v>65</v>
      </c>
      <c r="J85" s="11">
        <v>55</v>
      </c>
      <c r="K85" s="11">
        <v>68</v>
      </c>
      <c r="L85" s="11">
        <v>70</v>
      </c>
      <c r="M85" s="11">
        <v>72</v>
      </c>
      <c r="N85" s="12">
        <f t="shared" si="4"/>
        <v>330</v>
      </c>
      <c r="O85" s="13">
        <f t="shared" si="5"/>
        <v>66</v>
      </c>
      <c r="P85" s="12" t="str">
        <f t="shared" si="6"/>
        <v>Improvement</v>
      </c>
      <c r="Q85" s="12" t="str">
        <f t="shared" si="7"/>
        <v>Good</v>
      </c>
    </row>
    <row r="86" spans="1:17">
      <c r="A86" s="11" t="s">
        <v>194</v>
      </c>
      <c r="B86" s="11" t="s">
        <v>195</v>
      </c>
      <c r="C86" s="11" t="s">
        <v>30</v>
      </c>
      <c r="D86" s="11">
        <v>19</v>
      </c>
      <c r="E86" s="11" t="s">
        <v>34</v>
      </c>
      <c r="F86" s="11" t="s">
        <v>31</v>
      </c>
      <c r="G86" s="11">
        <v>79</v>
      </c>
      <c r="H86" s="11">
        <v>2.5</v>
      </c>
      <c r="I86" s="11">
        <v>55</v>
      </c>
      <c r="J86" s="11">
        <v>58</v>
      </c>
      <c r="K86" s="11">
        <v>74</v>
      </c>
      <c r="L86" s="11">
        <v>58</v>
      </c>
      <c r="M86" s="11">
        <v>63</v>
      </c>
      <c r="N86" s="12">
        <f t="shared" si="4"/>
        <v>308</v>
      </c>
      <c r="O86" s="13">
        <f t="shared" si="5"/>
        <v>61.6</v>
      </c>
      <c r="P86" s="12" t="str">
        <f t="shared" si="6"/>
        <v>Improvement</v>
      </c>
      <c r="Q86" s="12" t="str">
        <f t="shared" si="7"/>
        <v>Good</v>
      </c>
    </row>
    <row r="87" spans="1:17">
      <c r="A87" s="11" t="s">
        <v>196</v>
      </c>
      <c r="B87" s="11" t="s">
        <v>197</v>
      </c>
      <c r="C87" s="11" t="s">
        <v>30</v>
      </c>
      <c r="D87" s="11">
        <v>19</v>
      </c>
      <c r="E87" s="11" t="s">
        <v>38</v>
      </c>
      <c r="F87" s="11" t="s">
        <v>31</v>
      </c>
      <c r="G87" s="11">
        <v>86</v>
      </c>
      <c r="H87" s="11">
        <v>5.5</v>
      </c>
      <c r="I87" s="11">
        <v>86</v>
      </c>
      <c r="J87" s="11">
        <v>88</v>
      </c>
      <c r="K87" s="11">
        <v>74</v>
      </c>
      <c r="L87" s="11">
        <v>83</v>
      </c>
      <c r="M87" s="11">
        <v>91</v>
      </c>
      <c r="N87" s="12">
        <f t="shared" si="4"/>
        <v>422</v>
      </c>
      <c r="O87" s="13">
        <f t="shared" si="5"/>
        <v>84.4</v>
      </c>
      <c r="P87" s="12" t="str">
        <f t="shared" si="6"/>
        <v>TopPerformer</v>
      </c>
      <c r="Q87" s="12" t="str">
        <f t="shared" si="7"/>
        <v>Excellent</v>
      </c>
    </row>
    <row r="88" spans="1:17">
      <c r="A88" s="11" t="s">
        <v>198</v>
      </c>
      <c r="B88" s="11" t="s">
        <v>199</v>
      </c>
      <c r="C88" s="11" t="s">
        <v>19</v>
      </c>
      <c r="D88" s="11">
        <v>18</v>
      </c>
      <c r="E88" s="11" t="s">
        <v>27</v>
      </c>
      <c r="F88" s="11" t="s">
        <v>105</v>
      </c>
      <c r="G88" s="11">
        <v>86</v>
      </c>
      <c r="H88" s="11">
        <v>5.6</v>
      </c>
      <c r="I88" s="11">
        <v>71</v>
      </c>
      <c r="J88" s="11">
        <v>77</v>
      </c>
      <c r="K88" s="11">
        <v>51</v>
      </c>
      <c r="L88" s="11">
        <v>77</v>
      </c>
      <c r="M88" s="11">
        <v>45</v>
      </c>
      <c r="N88" s="12">
        <f t="shared" si="4"/>
        <v>321</v>
      </c>
      <c r="O88" s="13">
        <f t="shared" si="5"/>
        <v>64.2</v>
      </c>
      <c r="P88" s="12" t="str">
        <f t="shared" si="6"/>
        <v>Improvement</v>
      </c>
      <c r="Q88" s="12" t="str">
        <f t="shared" si="7"/>
        <v>Good</v>
      </c>
    </row>
    <row r="89" spans="1:17">
      <c r="A89" s="11" t="s">
        <v>200</v>
      </c>
      <c r="B89" s="11" t="s">
        <v>201</v>
      </c>
      <c r="C89" s="11" t="s">
        <v>19</v>
      </c>
      <c r="D89" s="11">
        <v>22</v>
      </c>
      <c r="E89" s="11" t="s">
        <v>38</v>
      </c>
      <c r="F89" s="11" t="s">
        <v>52</v>
      </c>
      <c r="G89" s="11">
        <v>71</v>
      </c>
      <c r="H89" s="11">
        <v>2.7</v>
      </c>
      <c r="I89" s="11">
        <v>63</v>
      </c>
      <c r="J89" s="11">
        <v>85</v>
      </c>
      <c r="K89" s="11">
        <v>67</v>
      </c>
      <c r="L89" s="11">
        <v>70</v>
      </c>
      <c r="M89" s="11">
        <v>80</v>
      </c>
      <c r="N89" s="12">
        <f t="shared" si="4"/>
        <v>365</v>
      </c>
      <c r="O89" s="13">
        <f t="shared" si="5"/>
        <v>73</v>
      </c>
      <c r="P89" s="12" t="str">
        <f t="shared" si="6"/>
        <v>Improvement</v>
      </c>
      <c r="Q89" s="12" t="str">
        <f t="shared" si="7"/>
        <v>Good</v>
      </c>
    </row>
    <row r="90" spans="1:17">
      <c r="A90" s="11" t="s">
        <v>202</v>
      </c>
      <c r="B90" s="11" t="s">
        <v>203</v>
      </c>
      <c r="C90" s="11" t="s">
        <v>19</v>
      </c>
      <c r="D90" s="11">
        <v>19</v>
      </c>
      <c r="E90" s="11" t="s">
        <v>20</v>
      </c>
      <c r="F90" s="11" t="s">
        <v>35</v>
      </c>
      <c r="G90" s="11">
        <v>81</v>
      </c>
      <c r="H90" s="11">
        <v>1.8</v>
      </c>
      <c r="I90" s="11">
        <v>48</v>
      </c>
      <c r="J90" s="11">
        <v>62</v>
      </c>
      <c r="K90" s="11">
        <v>55</v>
      </c>
      <c r="L90" s="11">
        <v>52</v>
      </c>
      <c r="M90" s="11">
        <v>53</v>
      </c>
      <c r="N90" s="12">
        <f t="shared" si="4"/>
        <v>270</v>
      </c>
      <c r="O90" s="13">
        <f t="shared" si="5"/>
        <v>54</v>
      </c>
      <c r="P90" s="12" t="str">
        <f t="shared" si="6"/>
        <v>Improvement</v>
      </c>
      <c r="Q90" s="12" t="str">
        <f t="shared" si="7"/>
        <v>Bad</v>
      </c>
    </row>
    <row r="91" spans="1:17">
      <c r="A91" s="11" t="s">
        <v>204</v>
      </c>
      <c r="B91" s="11" t="s">
        <v>205</v>
      </c>
      <c r="C91" s="11" t="s">
        <v>19</v>
      </c>
      <c r="D91" s="11">
        <v>21</v>
      </c>
      <c r="E91" s="11" t="s">
        <v>27</v>
      </c>
      <c r="F91" s="11" t="s">
        <v>105</v>
      </c>
      <c r="G91" s="11">
        <v>72</v>
      </c>
      <c r="H91" s="11">
        <v>5.5</v>
      </c>
      <c r="I91" s="11">
        <v>55</v>
      </c>
      <c r="J91" s="11">
        <v>70</v>
      </c>
      <c r="K91" s="11">
        <v>70</v>
      </c>
      <c r="L91" s="11">
        <v>54</v>
      </c>
      <c r="M91" s="11">
        <v>68</v>
      </c>
      <c r="N91" s="12">
        <f t="shared" si="4"/>
        <v>317</v>
      </c>
      <c r="O91" s="13">
        <f t="shared" si="5"/>
        <v>63.4</v>
      </c>
      <c r="P91" s="12" t="str">
        <f t="shared" si="6"/>
        <v>Improvement</v>
      </c>
      <c r="Q91" s="12" t="str">
        <f t="shared" si="7"/>
        <v>Good</v>
      </c>
    </row>
    <row r="92" spans="1:17">
      <c r="A92" s="11" t="s">
        <v>206</v>
      </c>
      <c r="B92" s="11" t="s">
        <v>207</v>
      </c>
      <c r="C92" s="11" t="s">
        <v>19</v>
      </c>
      <c r="D92" s="11">
        <v>20</v>
      </c>
      <c r="E92" s="11" t="s">
        <v>27</v>
      </c>
      <c r="F92" s="11" t="s">
        <v>39</v>
      </c>
      <c r="G92" s="11">
        <v>69</v>
      </c>
      <c r="H92" s="11">
        <v>4.3</v>
      </c>
      <c r="I92" s="11">
        <v>57</v>
      </c>
      <c r="J92" s="11">
        <v>68</v>
      </c>
      <c r="K92" s="11">
        <v>73</v>
      </c>
      <c r="L92" s="11">
        <v>76</v>
      </c>
      <c r="M92" s="11">
        <v>72</v>
      </c>
      <c r="N92" s="12">
        <f t="shared" si="4"/>
        <v>346</v>
      </c>
      <c r="O92" s="13">
        <f t="shared" si="5"/>
        <v>69.2</v>
      </c>
      <c r="P92" s="12" t="str">
        <f t="shared" si="6"/>
        <v>Improvement</v>
      </c>
      <c r="Q92" s="12" t="str">
        <f t="shared" si="7"/>
        <v>Good</v>
      </c>
    </row>
    <row r="93" spans="1:17">
      <c r="A93" s="11" t="s">
        <v>208</v>
      </c>
      <c r="B93" s="11" t="s">
        <v>99</v>
      </c>
      <c r="C93" s="11" t="s">
        <v>19</v>
      </c>
      <c r="D93" s="11">
        <v>18</v>
      </c>
      <c r="E93" s="11" t="s">
        <v>24</v>
      </c>
      <c r="F93" s="11" t="s">
        <v>35</v>
      </c>
      <c r="G93" s="11">
        <v>83</v>
      </c>
      <c r="H93" s="11">
        <v>4</v>
      </c>
      <c r="I93" s="11">
        <v>71</v>
      </c>
      <c r="J93" s="11">
        <v>65</v>
      </c>
      <c r="K93" s="11">
        <v>68</v>
      </c>
      <c r="L93" s="11">
        <v>76</v>
      </c>
      <c r="M93" s="11">
        <v>71</v>
      </c>
      <c r="N93" s="12">
        <f t="shared" si="4"/>
        <v>351</v>
      </c>
      <c r="O93" s="13">
        <f t="shared" si="5"/>
        <v>70.2</v>
      </c>
      <c r="P93" s="12" t="str">
        <f t="shared" si="6"/>
        <v>Improvement</v>
      </c>
      <c r="Q93" s="12" t="str">
        <f t="shared" si="7"/>
        <v>Good</v>
      </c>
    </row>
    <row r="94" spans="1:17">
      <c r="A94" s="11" t="s">
        <v>209</v>
      </c>
      <c r="B94" s="11" t="s">
        <v>210</v>
      </c>
      <c r="C94" s="11" t="s">
        <v>30</v>
      </c>
      <c r="D94" s="11">
        <v>18</v>
      </c>
      <c r="E94" s="11" t="s">
        <v>48</v>
      </c>
      <c r="F94" s="11" t="s">
        <v>35</v>
      </c>
      <c r="G94" s="11">
        <v>88</v>
      </c>
      <c r="H94" s="11">
        <v>4.4</v>
      </c>
      <c r="I94" s="11">
        <v>71</v>
      </c>
      <c r="J94" s="11">
        <v>55</v>
      </c>
      <c r="K94" s="11">
        <v>46</v>
      </c>
      <c r="L94" s="11">
        <v>51</v>
      </c>
      <c r="M94" s="11">
        <v>51</v>
      </c>
      <c r="N94" s="12">
        <f t="shared" si="4"/>
        <v>274</v>
      </c>
      <c r="O94" s="13">
        <f t="shared" si="5"/>
        <v>54.8</v>
      </c>
      <c r="P94" s="12" t="str">
        <f t="shared" si="6"/>
        <v>Improvement</v>
      </c>
      <c r="Q94" s="12" t="str">
        <f t="shared" si="7"/>
        <v>Bad</v>
      </c>
    </row>
    <row r="95" spans="1:17">
      <c r="A95" s="11" t="s">
        <v>211</v>
      </c>
      <c r="B95" s="11" t="s">
        <v>212</v>
      </c>
      <c r="C95" s="11" t="s">
        <v>19</v>
      </c>
      <c r="D95" s="11">
        <v>21</v>
      </c>
      <c r="E95" s="11" t="s">
        <v>34</v>
      </c>
      <c r="F95" s="11" t="s">
        <v>31</v>
      </c>
      <c r="G95" s="11">
        <v>87</v>
      </c>
      <c r="H95" s="11">
        <v>4.3</v>
      </c>
      <c r="I95" s="11">
        <v>73</v>
      </c>
      <c r="J95" s="11">
        <v>74</v>
      </c>
      <c r="K95" s="11">
        <v>53</v>
      </c>
      <c r="L95" s="11">
        <v>67</v>
      </c>
      <c r="M95" s="11">
        <v>52</v>
      </c>
      <c r="N95" s="12">
        <f t="shared" si="4"/>
        <v>319</v>
      </c>
      <c r="O95" s="13">
        <f t="shared" si="5"/>
        <v>63.8</v>
      </c>
      <c r="P95" s="12" t="str">
        <f t="shared" si="6"/>
        <v>Improvement</v>
      </c>
      <c r="Q95" s="12" t="str">
        <f t="shared" si="7"/>
        <v>Good</v>
      </c>
    </row>
    <row r="96" spans="1:17">
      <c r="A96" s="11" t="s">
        <v>213</v>
      </c>
      <c r="B96" s="11" t="s">
        <v>214</v>
      </c>
      <c r="C96" s="11" t="s">
        <v>30</v>
      </c>
      <c r="D96" s="11">
        <v>18</v>
      </c>
      <c r="E96" s="11" t="s">
        <v>24</v>
      </c>
      <c r="F96" s="11" t="s">
        <v>105</v>
      </c>
      <c r="G96" s="11">
        <v>92</v>
      </c>
      <c r="H96" s="11">
        <v>4.1</v>
      </c>
      <c r="I96" s="11">
        <v>68</v>
      </c>
      <c r="J96" s="11">
        <v>60</v>
      </c>
      <c r="K96" s="11">
        <v>64</v>
      </c>
      <c r="L96" s="11">
        <v>72</v>
      </c>
      <c r="M96" s="11">
        <v>60</v>
      </c>
      <c r="N96" s="12">
        <f t="shared" si="4"/>
        <v>324</v>
      </c>
      <c r="O96" s="13">
        <f t="shared" si="5"/>
        <v>64.8</v>
      </c>
      <c r="P96" s="12" t="str">
        <f t="shared" si="6"/>
        <v>Improvement</v>
      </c>
      <c r="Q96" s="12" t="str">
        <f t="shared" si="7"/>
        <v>Good</v>
      </c>
    </row>
    <row r="97" spans="1:17">
      <c r="A97" s="11" t="s">
        <v>215</v>
      </c>
      <c r="B97" s="11" t="s">
        <v>216</v>
      </c>
      <c r="C97" s="11" t="s">
        <v>19</v>
      </c>
      <c r="D97" s="11">
        <v>19</v>
      </c>
      <c r="E97" s="11" t="s">
        <v>27</v>
      </c>
      <c r="F97" s="11" t="s">
        <v>105</v>
      </c>
      <c r="G97" s="11">
        <v>90</v>
      </c>
      <c r="H97" s="11">
        <v>4.8</v>
      </c>
      <c r="I97" s="11">
        <v>65</v>
      </c>
      <c r="J97" s="11">
        <v>64</v>
      </c>
      <c r="K97" s="11">
        <v>66</v>
      </c>
      <c r="L97" s="11">
        <v>75</v>
      </c>
      <c r="M97" s="11">
        <v>63</v>
      </c>
      <c r="N97" s="12">
        <f t="shared" si="4"/>
        <v>333</v>
      </c>
      <c r="O97" s="13">
        <f t="shared" si="5"/>
        <v>66.6</v>
      </c>
      <c r="P97" s="12" t="str">
        <f t="shared" si="6"/>
        <v>Improvement</v>
      </c>
      <c r="Q97" s="12" t="str">
        <f t="shared" si="7"/>
        <v>Good</v>
      </c>
    </row>
    <row r="98" spans="1:17">
      <c r="A98" s="11" t="s">
        <v>217</v>
      </c>
      <c r="B98" s="11" t="s">
        <v>107</v>
      </c>
      <c r="C98" s="11" t="s">
        <v>30</v>
      </c>
      <c r="D98" s="11">
        <v>22</v>
      </c>
      <c r="E98" s="11" t="s">
        <v>48</v>
      </c>
      <c r="F98" s="11" t="s">
        <v>21</v>
      </c>
      <c r="G98" s="11">
        <v>82</v>
      </c>
      <c r="H98" s="11">
        <v>7.5</v>
      </c>
      <c r="I98" s="11">
        <v>81</v>
      </c>
      <c r="J98" s="11">
        <v>71</v>
      </c>
      <c r="K98" s="11">
        <v>73</v>
      </c>
      <c r="L98" s="11">
        <v>70</v>
      </c>
      <c r="M98" s="11">
        <v>73</v>
      </c>
      <c r="N98" s="12">
        <f t="shared" si="4"/>
        <v>368</v>
      </c>
      <c r="O98" s="13">
        <f t="shared" si="5"/>
        <v>73.6</v>
      </c>
      <c r="P98" s="12" t="str">
        <f t="shared" si="6"/>
        <v>Improvement</v>
      </c>
      <c r="Q98" s="12" t="str">
        <f t="shared" si="7"/>
        <v>Good</v>
      </c>
    </row>
    <row r="99" spans="1:17">
      <c r="A99" s="11" t="s">
        <v>218</v>
      </c>
      <c r="B99" s="11" t="s">
        <v>219</v>
      </c>
      <c r="C99" s="11" t="s">
        <v>19</v>
      </c>
      <c r="D99" s="11">
        <v>21</v>
      </c>
      <c r="E99" s="11" t="s">
        <v>34</v>
      </c>
      <c r="F99" s="11" t="s">
        <v>21</v>
      </c>
      <c r="G99" s="11">
        <v>92</v>
      </c>
      <c r="H99" s="11">
        <v>2.8</v>
      </c>
      <c r="I99" s="11">
        <v>53</v>
      </c>
      <c r="J99" s="11">
        <v>66</v>
      </c>
      <c r="K99" s="11">
        <v>74</v>
      </c>
      <c r="L99" s="11">
        <v>61</v>
      </c>
      <c r="M99" s="11">
        <v>60</v>
      </c>
      <c r="N99" s="12">
        <f t="shared" si="4"/>
        <v>314</v>
      </c>
      <c r="O99" s="13">
        <f t="shared" si="5"/>
        <v>62.8</v>
      </c>
      <c r="P99" s="12" t="str">
        <f t="shared" si="6"/>
        <v>Improvement</v>
      </c>
      <c r="Q99" s="12" t="str">
        <f t="shared" si="7"/>
        <v>Good</v>
      </c>
    </row>
    <row r="100" spans="1:17">
      <c r="A100" s="11" t="s">
        <v>220</v>
      </c>
      <c r="B100" s="11" t="s">
        <v>199</v>
      </c>
      <c r="C100" s="11" t="s">
        <v>30</v>
      </c>
      <c r="D100" s="11">
        <v>20</v>
      </c>
      <c r="E100" s="11" t="s">
        <v>20</v>
      </c>
      <c r="F100" s="11" t="s">
        <v>52</v>
      </c>
      <c r="G100" s="11">
        <v>73</v>
      </c>
      <c r="H100" s="11">
        <v>4.1</v>
      </c>
      <c r="I100" s="11">
        <v>95</v>
      </c>
      <c r="J100" s="11">
        <v>68</v>
      </c>
      <c r="K100" s="11">
        <v>84</v>
      </c>
      <c r="L100" s="11">
        <v>75</v>
      </c>
      <c r="M100" s="11">
        <v>71</v>
      </c>
      <c r="N100" s="12">
        <f t="shared" si="4"/>
        <v>393</v>
      </c>
      <c r="O100" s="13">
        <f t="shared" si="5"/>
        <v>78.6</v>
      </c>
      <c r="P100" s="12" t="str">
        <f t="shared" si="6"/>
        <v>Improvement</v>
      </c>
      <c r="Q100" s="12" t="str">
        <f t="shared" si="7"/>
        <v>Good</v>
      </c>
    </row>
    <row r="101" spans="1:17">
      <c r="A101" s="11" t="s">
        <v>221</v>
      </c>
      <c r="B101" s="11" t="s">
        <v>222</v>
      </c>
      <c r="C101" s="11" t="s">
        <v>30</v>
      </c>
      <c r="D101" s="11">
        <v>20</v>
      </c>
      <c r="E101" s="11" t="s">
        <v>34</v>
      </c>
      <c r="F101" s="11" t="s">
        <v>52</v>
      </c>
      <c r="G101" s="11">
        <v>78</v>
      </c>
      <c r="H101" s="11">
        <v>1.7</v>
      </c>
      <c r="I101" s="11">
        <v>49</v>
      </c>
      <c r="J101" s="11">
        <v>42</v>
      </c>
      <c r="K101" s="11">
        <v>39</v>
      </c>
      <c r="L101" s="11">
        <v>44</v>
      </c>
      <c r="M101" s="11">
        <v>51</v>
      </c>
      <c r="N101" s="12">
        <f t="shared" si="4"/>
        <v>225</v>
      </c>
      <c r="O101" s="13">
        <f t="shared" si="5"/>
        <v>45</v>
      </c>
      <c r="P101" s="12" t="str">
        <f t="shared" si="6"/>
        <v>Improvement</v>
      </c>
      <c r="Q101" s="12" t="str">
        <f t="shared" si="7"/>
        <v>Bad</v>
      </c>
    </row>
    <row r="102" spans="1:17">
      <c r="A102" s="11" t="s">
        <v>223</v>
      </c>
      <c r="B102" s="11" t="s">
        <v>224</v>
      </c>
      <c r="C102" s="11" t="s">
        <v>30</v>
      </c>
      <c r="D102" s="11">
        <v>18</v>
      </c>
      <c r="E102" s="11" t="s">
        <v>27</v>
      </c>
      <c r="F102" s="11" t="s">
        <v>52</v>
      </c>
      <c r="G102" s="11">
        <v>81</v>
      </c>
      <c r="H102" s="11">
        <v>6.2</v>
      </c>
      <c r="I102" s="11">
        <v>85</v>
      </c>
      <c r="J102" s="11">
        <v>87</v>
      </c>
      <c r="K102" s="11">
        <v>86</v>
      </c>
      <c r="L102" s="11">
        <v>82</v>
      </c>
      <c r="M102" s="11">
        <v>82</v>
      </c>
      <c r="N102" s="12">
        <f t="shared" si="4"/>
        <v>422</v>
      </c>
      <c r="O102" s="13">
        <f t="shared" si="5"/>
        <v>84.4</v>
      </c>
      <c r="P102" s="12" t="str">
        <f t="shared" si="6"/>
        <v>TopPerformer</v>
      </c>
      <c r="Q102" s="12" t="str">
        <f t="shared" si="7"/>
        <v>Excellent</v>
      </c>
    </row>
    <row r="103" spans="1:17">
      <c r="A103" s="11" t="s">
        <v>225</v>
      </c>
      <c r="B103" s="11" t="s">
        <v>188</v>
      </c>
      <c r="C103" s="11" t="s">
        <v>19</v>
      </c>
      <c r="D103" s="11">
        <v>19</v>
      </c>
      <c r="E103" s="11" t="s">
        <v>20</v>
      </c>
      <c r="F103" s="11" t="s">
        <v>21</v>
      </c>
      <c r="G103" s="11">
        <v>69</v>
      </c>
      <c r="H103" s="11">
        <v>2.6</v>
      </c>
      <c r="I103" s="11">
        <v>72</v>
      </c>
      <c r="J103" s="11">
        <v>78</v>
      </c>
      <c r="K103" s="11">
        <v>64</v>
      </c>
      <c r="L103" s="11">
        <v>56</v>
      </c>
      <c r="M103" s="11">
        <v>64</v>
      </c>
      <c r="N103" s="12">
        <f t="shared" si="4"/>
        <v>334</v>
      </c>
      <c r="O103" s="13">
        <f t="shared" si="5"/>
        <v>66.8</v>
      </c>
      <c r="P103" s="12" t="str">
        <f t="shared" si="6"/>
        <v>Improvement</v>
      </c>
      <c r="Q103" s="12" t="str">
        <f t="shared" si="7"/>
        <v>Good</v>
      </c>
    </row>
    <row r="104" spans="1:17">
      <c r="A104" s="11" t="s">
        <v>226</v>
      </c>
      <c r="B104" s="11" t="s">
        <v>227</v>
      </c>
      <c r="C104" s="11" t="s">
        <v>19</v>
      </c>
      <c r="D104" s="11">
        <v>22</v>
      </c>
      <c r="E104" s="11" t="s">
        <v>27</v>
      </c>
      <c r="F104" s="11" t="s">
        <v>39</v>
      </c>
      <c r="G104" s="11">
        <v>78</v>
      </c>
      <c r="H104" s="11">
        <v>4.3</v>
      </c>
      <c r="I104" s="11">
        <v>62</v>
      </c>
      <c r="J104" s="11">
        <v>58</v>
      </c>
      <c r="K104" s="11">
        <v>52</v>
      </c>
      <c r="L104" s="11">
        <v>57</v>
      </c>
      <c r="M104" s="11">
        <v>57</v>
      </c>
      <c r="N104" s="12">
        <f t="shared" si="4"/>
        <v>286</v>
      </c>
      <c r="O104" s="13">
        <f t="shared" si="5"/>
        <v>57.2</v>
      </c>
      <c r="P104" s="12" t="str">
        <f t="shared" si="6"/>
        <v>Improvement</v>
      </c>
      <c r="Q104" s="12" t="str">
        <f t="shared" si="7"/>
        <v>Bad</v>
      </c>
    </row>
    <row r="105" spans="1:17">
      <c r="A105" s="11" t="s">
        <v>228</v>
      </c>
      <c r="B105" s="11" t="s">
        <v>188</v>
      </c>
      <c r="C105" s="11" t="s">
        <v>19</v>
      </c>
      <c r="D105" s="11">
        <v>19</v>
      </c>
      <c r="E105" s="11" t="s">
        <v>48</v>
      </c>
      <c r="F105" s="11" t="s">
        <v>31</v>
      </c>
      <c r="G105" s="11">
        <v>79</v>
      </c>
      <c r="H105" s="11">
        <v>1</v>
      </c>
      <c r="I105" s="11">
        <v>44</v>
      </c>
      <c r="J105" s="11">
        <v>41</v>
      </c>
      <c r="K105" s="11">
        <v>57</v>
      </c>
      <c r="L105" s="11">
        <v>45</v>
      </c>
      <c r="M105" s="11">
        <v>56</v>
      </c>
      <c r="N105" s="12">
        <f t="shared" si="4"/>
        <v>243</v>
      </c>
      <c r="O105" s="13">
        <f t="shared" si="5"/>
        <v>48.6</v>
      </c>
      <c r="P105" s="12" t="str">
        <f t="shared" si="6"/>
        <v>Improvement</v>
      </c>
      <c r="Q105" s="12" t="str">
        <f t="shared" si="7"/>
        <v>Bad</v>
      </c>
    </row>
    <row r="106" spans="1:17">
      <c r="A106" s="11" t="s">
        <v>229</v>
      </c>
      <c r="B106" s="11" t="s">
        <v>214</v>
      </c>
      <c r="C106" s="11" t="s">
        <v>30</v>
      </c>
      <c r="D106" s="11">
        <v>19</v>
      </c>
      <c r="E106" s="11" t="s">
        <v>48</v>
      </c>
      <c r="F106" s="11" t="s">
        <v>64</v>
      </c>
      <c r="G106" s="11">
        <v>82</v>
      </c>
      <c r="H106" s="11">
        <v>6.4</v>
      </c>
      <c r="I106" s="11">
        <v>42</v>
      </c>
      <c r="J106" s="11">
        <v>54</v>
      </c>
      <c r="K106" s="11">
        <v>59</v>
      </c>
      <c r="L106" s="11">
        <v>64</v>
      </c>
      <c r="M106" s="11">
        <v>62</v>
      </c>
      <c r="N106" s="12">
        <f t="shared" si="4"/>
        <v>281</v>
      </c>
      <c r="O106" s="13">
        <f t="shared" si="5"/>
        <v>56.2</v>
      </c>
      <c r="P106" s="12" t="str">
        <f t="shared" si="6"/>
        <v>Improvement</v>
      </c>
      <c r="Q106" s="12" t="str">
        <f t="shared" si="7"/>
        <v>Bad</v>
      </c>
    </row>
    <row r="107" spans="1:17">
      <c r="A107" s="11" t="s">
        <v>230</v>
      </c>
      <c r="B107" s="11" t="s">
        <v>231</v>
      </c>
      <c r="C107" s="11" t="s">
        <v>19</v>
      </c>
      <c r="D107" s="11">
        <v>18</v>
      </c>
      <c r="E107" s="11" t="s">
        <v>34</v>
      </c>
      <c r="F107" s="11" t="s">
        <v>21</v>
      </c>
      <c r="G107" s="11">
        <v>83</v>
      </c>
      <c r="H107" s="11">
        <v>5.2</v>
      </c>
      <c r="I107" s="11">
        <v>67</v>
      </c>
      <c r="J107" s="11">
        <v>78</v>
      </c>
      <c r="K107" s="11">
        <v>73</v>
      </c>
      <c r="L107" s="11">
        <v>72</v>
      </c>
      <c r="M107" s="11">
        <v>84</v>
      </c>
      <c r="N107" s="12">
        <f t="shared" si="4"/>
        <v>374</v>
      </c>
      <c r="O107" s="13">
        <f t="shared" si="5"/>
        <v>74.8</v>
      </c>
      <c r="P107" s="12" t="str">
        <f t="shared" si="6"/>
        <v>Improvement</v>
      </c>
      <c r="Q107" s="12" t="str">
        <f t="shared" si="7"/>
        <v>Good</v>
      </c>
    </row>
    <row r="108" spans="1:17">
      <c r="A108" s="11" t="s">
        <v>232</v>
      </c>
      <c r="B108" s="11" t="s">
        <v>191</v>
      </c>
      <c r="C108" s="11" t="s">
        <v>30</v>
      </c>
      <c r="D108" s="11">
        <v>21</v>
      </c>
      <c r="E108" s="11" t="s">
        <v>34</v>
      </c>
      <c r="F108" s="11" t="s">
        <v>31</v>
      </c>
      <c r="G108" s="11">
        <v>78</v>
      </c>
      <c r="H108" s="11">
        <v>3.4</v>
      </c>
      <c r="I108" s="11">
        <v>43</v>
      </c>
      <c r="J108" s="11">
        <v>44</v>
      </c>
      <c r="K108" s="11">
        <v>71</v>
      </c>
      <c r="L108" s="11">
        <v>66</v>
      </c>
      <c r="M108" s="11">
        <v>48</v>
      </c>
      <c r="N108" s="12">
        <f t="shared" si="4"/>
        <v>272</v>
      </c>
      <c r="O108" s="13">
        <f t="shared" si="5"/>
        <v>54.4</v>
      </c>
      <c r="P108" s="12" t="str">
        <f t="shared" si="6"/>
        <v>Improvement</v>
      </c>
      <c r="Q108" s="12" t="str">
        <f t="shared" si="7"/>
        <v>Bad</v>
      </c>
    </row>
    <row r="109" spans="1:17">
      <c r="A109" s="11" t="s">
        <v>233</v>
      </c>
      <c r="B109" s="11" t="s">
        <v>234</v>
      </c>
      <c r="C109" s="11" t="s">
        <v>30</v>
      </c>
      <c r="D109" s="11">
        <v>19</v>
      </c>
      <c r="E109" s="11" t="s">
        <v>24</v>
      </c>
      <c r="F109" s="11" t="s">
        <v>44</v>
      </c>
      <c r="G109" s="11">
        <v>80</v>
      </c>
      <c r="H109" s="11">
        <v>2.3</v>
      </c>
      <c r="I109" s="11">
        <v>44</v>
      </c>
      <c r="J109" s="11">
        <v>51</v>
      </c>
      <c r="K109" s="11">
        <v>58</v>
      </c>
      <c r="L109" s="11">
        <v>60</v>
      </c>
      <c r="M109" s="11">
        <v>61</v>
      </c>
      <c r="N109" s="12">
        <f t="shared" si="4"/>
        <v>274</v>
      </c>
      <c r="O109" s="13">
        <f t="shared" si="5"/>
        <v>54.8</v>
      </c>
      <c r="P109" s="12" t="str">
        <f t="shared" si="6"/>
        <v>Improvement</v>
      </c>
      <c r="Q109" s="12" t="str">
        <f t="shared" si="7"/>
        <v>Bad</v>
      </c>
    </row>
    <row r="110" spans="1:17">
      <c r="A110" s="11" t="s">
        <v>235</v>
      </c>
      <c r="B110" s="11" t="s">
        <v>236</v>
      </c>
      <c r="C110" s="11" t="s">
        <v>19</v>
      </c>
      <c r="D110" s="11">
        <v>21</v>
      </c>
      <c r="E110" s="11" t="s">
        <v>24</v>
      </c>
      <c r="F110" s="11" t="s">
        <v>35</v>
      </c>
      <c r="G110" s="11">
        <v>87</v>
      </c>
      <c r="H110" s="11">
        <v>3.8</v>
      </c>
      <c r="I110" s="11">
        <v>53</v>
      </c>
      <c r="J110" s="11">
        <v>59</v>
      </c>
      <c r="K110" s="11">
        <v>61</v>
      </c>
      <c r="L110" s="11">
        <v>55</v>
      </c>
      <c r="M110" s="11">
        <v>68</v>
      </c>
      <c r="N110" s="12">
        <f t="shared" si="4"/>
        <v>296</v>
      </c>
      <c r="O110" s="13">
        <f t="shared" si="5"/>
        <v>59.2</v>
      </c>
      <c r="P110" s="12" t="str">
        <f t="shared" si="6"/>
        <v>Improvement</v>
      </c>
      <c r="Q110" s="12" t="str">
        <f t="shared" si="7"/>
        <v>Bad</v>
      </c>
    </row>
    <row r="111" spans="1:17">
      <c r="A111" s="11" t="s">
        <v>237</v>
      </c>
      <c r="B111" s="11" t="s">
        <v>132</v>
      </c>
      <c r="C111" s="11" t="s">
        <v>30</v>
      </c>
      <c r="D111" s="11">
        <v>20</v>
      </c>
      <c r="E111" s="11" t="s">
        <v>27</v>
      </c>
      <c r="F111" s="11" t="s">
        <v>39</v>
      </c>
      <c r="G111" s="11">
        <v>99</v>
      </c>
      <c r="H111" s="11">
        <v>6.7</v>
      </c>
      <c r="I111" s="11">
        <v>64</v>
      </c>
      <c r="J111" s="11">
        <v>83</v>
      </c>
      <c r="K111" s="11">
        <v>63</v>
      </c>
      <c r="L111" s="11">
        <v>60</v>
      </c>
      <c r="M111" s="11">
        <v>67</v>
      </c>
      <c r="N111" s="12">
        <f t="shared" si="4"/>
        <v>337</v>
      </c>
      <c r="O111" s="13">
        <f t="shared" si="5"/>
        <v>67.4</v>
      </c>
      <c r="P111" s="12" t="str">
        <f t="shared" si="6"/>
        <v>Improvement</v>
      </c>
      <c r="Q111" s="12" t="str">
        <f t="shared" si="7"/>
        <v>Good</v>
      </c>
    </row>
    <row r="112" spans="1:17">
      <c r="A112" s="11" t="s">
        <v>238</v>
      </c>
      <c r="B112" s="11" t="s">
        <v>231</v>
      </c>
      <c r="C112" s="11" t="s">
        <v>30</v>
      </c>
      <c r="D112" s="11">
        <v>21</v>
      </c>
      <c r="E112" s="11" t="s">
        <v>38</v>
      </c>
      <c r="F112" s="11" t="s">
        <v>21</v>
      </c>
      <c r="G112" s="11">
        <v>75</v>
      </c>
      <c r="H112" s="11">
        <v>2.7</v>
      </c>
      <c r="I112" s="11">
        <v>70</v>
      </c>
      <c r="J112" s="11">
        <v>55</v>
      </c>
      <c r="K112" s="11">
        <v>59</v>
      </c>
      <c r="L112" s="11">
        <v>48</v>
      </c>
      <c r="M112" s="11">
        <v>51</v>
      </c>
      <c r="N112" s="12">
        <f t="shared" si="4"/>
        <v>283</v>
      </c>
      <c r="O112" s="13">
        <f t="shared" si="5"/>
        <v>56.6</v>
      </c>
      <c r="P112" s="12" t="str">
        <f t="shared" si="6"/>
        <v>Improvement</v>
      </c>
      <c r="Q112" s="12" t="str">
        <f t="shared" si="7"/>
        <v>Bad</v>
      </c>
    </row>
    <row r="113" spans="1:17">
      <c r="A113" s="11" t="s">
        <v>239</v>
      </c>
      <c r="B113" s="11" t="s">
        <v>23</v>
      </c>
      <c r="C113" s="11" t="s">
        <v>19</v>
      </c>
      <c r="D113" s="11">
        <v>21</v>
      </c>
      <c r="E113" s="11" t="s">
        <v>38</v>
      </c>
      <c r="F113" s="11" t="s">
        <v>39</v>
      </c>
      <c r="G113" s="11">
        <v>65</v>
      </c>
      <c r="H113" s="11">
        <v>1</v>
      </c>
      <c r="I113" s="11">
        <v>52</v>
      </c>
      <c r="J113" s="11">
        <v>41</v>
      </c>
      <c r="K113" s="11">
        <v>51</v>
      </c>
      <c r="L113" s="11">
        <v>44</v>
      </c>
      <c r="M113" s="11">
        <v>47</v>
      </c>
      <c r="N113" s="12">
        <f t="shared" si="4"/>
        <v>235</v>
      </c>
      <c r="O113" s="13">
        <f t="shared" si="5"/>
        <v>47</v>
      </c>
      <c r="P113" s="12" t="str">
        <f t="shared" si="6"/>
        <v>Improvement</v>
      </c>
      <c r="Q113" s="12" t="str">
        <f t="shared" si="7"/>
        <v>Bad</v>
      </c>
    </row>
    <row r="114" spans="1:17">
      <c r="A114" s="11" t="s">
        <v>240</v>
      </c>
      <c r="B114" s="11" t="s">
        <v>165</v>
      </c>
      <c r="C114" s="11" t="s">
        <v>19</v>
      </c>
      <c r="D114" s="11">
        <v>18</v>
      </c>
      <c r="E114" s="11" t="s">
        <v>20</v>
      </c>
      <c r="F114" s="11" t="s">
        <v>105</v>
      </c>
      <c r="G114" s="11">
        <v>76</v>
      </c>
      <c r="H114" s="11">
        <v>4.6</v>
      </c>
      <c r="I114" s="11">
        <v>66</v>
      </c>
      <c r="J114" s="11">
        <v>61</v>
      </c>
      <c r="K114" s="11">
        <v>61</v>
      </c>
      <c r="L114" s="11">
        <v>71</v>
      </c>
      <c r="M114" s="11">
        <v>73</v>
      </c>
      <c r="N114" s="12">
        <f t="shared" si="4"/>
        <v>332</v>
      </c>
      <c r="O114" s="13">
        <f t="shared" si="5"/>
        <v>66.4</v>
      </c>
      <c r="P114" s="12" t="str">
        <f t="shared" si="6"/>
        <v>Improvement</v>
      </c>
      <c r="Q114" s="12" t="str">
        <f t="shared" si="7"/>
        <v>Good</v>
      </c>
    </row>
    <row r="115" spans="1:17">
      <c r="A115" s="11" t="s">
        <v>241</v>
      </c>
      <c r="B115" s="11" t="s">
        <v>148</v>
      </c>
      <c r="C115" s="11" t="s">
        <v>30</v>
      </c>
      <c r="D115" s="11">
        <v>21</v>
      </c>
      <c r="E115" s="11" t="s">
        <v>38</v>
      </c>
      <c r="F115" s="11" t="s">
        <v>105</v>
      </c>
      <c r="G115" s="11">
        <v>87</v>
      </c>
      <c r="H115" s="11">
        <v>6.1</v>
      </c>
      <c r="I115" s="11">
        <v>75</v>
      </c>
      <c r="J115" s="11">
        <v>97</v>
      </c>
      <c r="K115" s="11">
        <v>79</v>
      </c>
      <c r="L115" s="11">
        <v>92</v>
      </c>
      <c r="M115" s="11">
        <v>84</v>
      </c>
      <c r="N115" s="12">
        <f t="shared" si="4"/>
        <v>427</v>
      </c>
      <c r="O115" s="13">
        <f t="shared" si="5"/>
        <v>85.4</v>
      </c>
      <c r="P115" s="12" t="str">
        <f t="shared" si="6"/>
        <v>TopPerformer</v>
      </c>
      <c r="Q115" s="12" t="str">
        <f t="shared" si="7"/>
        <v>Excellent</v>
      </c>
    </row>
    <row r="116" spans="1:17">
      <c r="A116" s="11" t="s">
        <v>242</v>
      </c>
      <c r="B116" s="11" t="s">
        <v>23</v>
      </c>
      <c r="C116" s="11" t="s">
        <v>19</v>
      </c>
      <c r="D116" s="11">
        <v>21</v>
      </c>
      <c r="E116" s="11" t="s">
        <v>27</v>
      </c>
      <c r="F116" s="11" t="s">
        <v>44</v>
      </c>
      <c r="G116" s="11">
        <v>67</v>
      </c>
      <c r="H116" s="11">
        <v>5.3</v>
      </c>
      <c r="I116" s="11">
        <v>71</v>
      </c>
      <c r="J116" s="11">
        <v>80</v>
      </c>
      <c r="K116" s="11">
        <v>72</v>
      </c>
      <c r="L116" s="11">
        <v>73</v>
      </c>
      <c r="M116" s="11">
        <v>84</v>
      </c>
      <c r="N116" s="12">
        <f t="shared" si="4"/>
        <v>380</v>
      </c>
      <c r="O116" s="13">
        <f t="shared" si="5"/>
        <v>76</v>
      </c>
      <c r="P116" s="12" t="str">
        <f t="shared" si="6"/>
        <v>Improvement</v>
      </c>
      <c r="Q116" s="12" t="str">
        <f t="shared" si="7"/>
        <v>Good</v>
      </c>
    </row>
    <row r="117" spans="1:17">
      <c r="A117" s="11" t="s">
        <v>243</v>
      </c>
      <c r="B117" s="11" t="s">
        <v>244</v>
      </c>
      <c r="C117" s="11" t="s">
        <v>19</v>
      </c>
      <c r="D117" s="11">
        <v>19</v>
      </c>
      <c r="E117" s="11" t="s">
        <v>38</v>
      </c>
      <c r="F117" s="11" t="s">
        <v>31</v>
      </c>
      <c r="G117" s="11">
        <v>90</v>
      </c>
      <c r="H117" s="11">
        <v>3.9</v>
      </c>
      <c r="I117" s="11">
        <v>68</v>
      </c>
      <c r="J117" s="11">
        <v>72</v>
      </c>
      <c r="K117" s="11">
        <v>71</v>
      </c>
      <c r="L117" s="11">
        <v>65</v>
      </c>
      <c r="M117" s="11">
        <v>77</v>
      </c>
      <c r="N117" s="12">
        <f t="shared" si="4"/>
        <v>353</v>
      </c>
      <c r="O117" s="13">
        <f t="shared" si="5"/>
        <v>70.6</v>
      </c>
      <c r="P117" s="12" t="str">
        <f t="shared" si="6"/>
        <v>Improvement</v>
      </c>
      <c r="Q117" s="12" t="str">
        <f t="shared" si="7"/>
        <v>Good</v>
      </c>
    </row>
    <row r="118" spans="1:17">
      <c r="A118" s="11" t="s">
        <v>245</v>
      </c>
      <c r="B118" s="11" t="s">
        <v>246</v>
      </c>
      <c r="C118" s="11" t="s">
        <v>19</v>
      </c>
      <c r="D118" s="11">
        <v>22</v>
      </c>
      <c r="E118" s="11" t="s">
        <v>48</v>
      </c>
      <c r="F118" s="11" t="s">
        <v>39</v>
      </c>
      <c r="G118" s="11">
        <v>95</v>
      </c>
      <c r="H118" s="11">
        <v>3.2</v>
      </c>
      <c r="I118" s="11">
        <v>62</v>
      </c>
      <c r="J118" s="11">
        <v>67</v>
      </c>
      <c r="K118" s="11">
        <v>63</v>
      </c>
      <c r="L118" s="11">
        <v>80</v>
      </c>
      <c r="M118" s="11">
        <v>70</v>
      </c>
      <c r="N118" s="12">
        <f t="shared" si="4"/>
        <v>342</v>
      </c>
      <c r="O118" s="13">
        <f t="shared" si="5"/>
        <v>68.4</v>
      </c>
      <c r="P118" s="12" t="str">
        <f t="shared" si="6"/>
        <v>Improvement</v>
      </c>
      <c r="Q118" s="12" t="str">
        <f t="shared" si="7"/>
        <v>Good</v>
      </c>
    </row>
    <row r="119" spans="1:17">
      <c r="A119" s="11" t="s">
        <v>247</v>
      </c>
      <c r="B119" s="11" t="s">
        <v>41</v>
      </c>
      <c r="C119" s="11" t="s">
        <v>19</v>
      </c>
      <c r="D119" s="11">
        <v>18</v>
      </c>
      <c r="E119" s="11" t="s">
        <v>48</v>
      </c>
      <c r="F119" s="11" t="s">
        <v>21</v>
      </c>
      <c r="G119" s="11">
        <v>63</v>
      </c>
      <c r="H119" s="11">
        <v>5</v>
      </c>
      <c r="I119" s="11">
        <v>67</v>
      </c>
      <c r="J119" s="11">
        <v>55</v>
      </c>
      <c r="K119" s="11">
        <v>65</v>
      </c>
      <c r="L119" s="11">
        <v>81</v>
      </c>
      <c r="M119" s="11">
        <v>72</v>
      </c>
      <c r="N119" s="12">
        <f t="shared" si="4"/>
        <v>340</v>
      </c>
      <c r="O119" s="13">
        <f t="shared" si="5"/>
        <v>68</v>
      </c>
      <c r="P119" s="12" t="str">
        <f t="shared" si="6"/>
        <v>Improvement</v>
      </c>
      <c r="Q119" s="12" t="str">
        <f t="shared" si="7"/>
        <v>Good</v>
      </c>
    </row>
    <row r="120" spans="1:17">
      <c r="A120" s="11" t="s">
        <v>248</v>
      </c>
      <c r="B120" s="11" t="s">
        <v>249</v>
      </c>
      <c r="C120" s="11" t="s">
        <v>19</v>
      </c>
      <c r="D120" s="11">
        <v>20</v>
      </c>
      <c r="E120" s="11" t="s">
        <v>38</v>
      </c>
      <c r="F120" s="11" t="s">
        <v>21</v>
      </c>
      <c r="G120" s="11">
        <v>62</v>
      </c>
      <c r="H120" s="11">
        <v>4.2</v>
      </c>
      <c r="I120" s="11">
        <v>55</v>
      </c>
      <c r="J120" s="11">
        <v>62</v>
      </c>
      <c r="K120" s="11">
        <v>58</v>
      </c>
      <c r="L120" s="11">
        <v>60</v>
      </c>
      <c r="M120" s="11">
        <v>68</v>
      </c>
      <c r="N120" s="12">
        <f t="shared" si="4"/>
        <v>303</v>
      </c>
      <c r="O120" s="13">
        <f t="shared" si="5"/>
        <v>60.6</v>
      </c>
      <c r="P120" s="12" t="str">
        <f t="shared" si="6"/>
        <v>Improvement</v>
      </c>
      <c r="Q120" s="12" t="str">
        <f t="shared" si="7"/>
        <v>Good</v>
      </c>
    </row>
    <row r="121" spans="1:17">
      <c r="A121" s="11" t="s">
        <v>250</v>
      </c>
      <c r="B121" s="11" t="s">
        <v>29</v>
      </c>
      <c r="C121" s="11" t="s">
        <v>30</v>
      </c>
      <c r="D121" s="11">
        <v>19</v>
      </c>
      <c r="E121" s="11" t="s">
        <v>38</v>
      </c>
      <c r="F121" s="11" t="s">
        <v>21</v>
      </c>
      <c r="G121" s="11">
        <v>88</v>
      </c>
      <c r="H121" s="11">
        <v>3.4</v>
      </c>
      <c r="I121" s="11">
        <v>39</v>
      </c>
      <c r="J121" s="11">
        <v>56</v>
      </c>
      <c r="K121" s="11">
        <v>30</v>
      </c>
      <c r="L121" s="11">
        <v>44</v>
      </c>
      <c r="M121" s="11">
        <v>37</v>
      </c>
      <c r="N121" s="12">
        <f t="shared" si="4"/>
        <v>206</v>
      </c>
      <c r="O121" s="13">
        <f t="shared" si="5"/>
        <v>41.2</v>
      </c>
      <c r="P121" s="12" t="str">
        <f t="shared" si="6"/>
        <v>Improvement</v>
      </c>
      <c r="Q121" s="12" t="str">
        <f t="shared" si="7"/>
        <v>Bad</v>
      </c>
    </row>
    <row r="122" spans="1:17">
      <c r="A122" s="11" t="s">
        <v>251</v>
      </c>
      <c r="B122" s="11" t="s">
        <v>222</v>
      </c>
      <c r="C122" s="11" t="s">
        <v>30</v>
      </c>
      <c r="D122" s="11">
        <v>18</v>
      </c>
      <c r="E122" s="11" t="s">
        <v>27</v>
      </c>
      <c r="F122" s="11" t="s">
        <v>105</v>
      </c>
      <c r="G122" s="11">
        <v>87</v>
      </c>
      <c r="H122" s="11">
        <v>6.6</v>
      </c>
      <c r="I122" s="11">
        <v>78</v>
      </c>
      <c r="J122" s="11">
        <v>63</v>
      </c>
      <c r="K122" s="11">
        <v>85</v>
      </c>
      <c r="L122" s="11">
        <v>69</v>
      </c>
      <c r="M122" s="11">
        <v>71</v>
      </c>
      <c r="N122" s="12">
        <f t="shared" si="4"/>
        <v>366</v>
      </c>
      <c r="O122" s="13">
        <f t="shared" si="5"/>
        <v>73.2</v>
      </c>
      <c r="P122" s="12" t="str">
        <f t="shared" si="6"/>
        <v>Improvement</v>
      </c>
      <c r="Q122" s="12" t="str">
        <f t="shared" si="7"/>
        <v>Good</v>
      </c>
    </row>
    <row r="123" spans="1:17">
      <c r="A123" s="11" t="s">
        <v>252</v>
      </c>
      <c r="B123" s="11" t="s">
        <v>253</v>
      </c>
      <c r="C123" s="11" t="s">
        <v>19</v>
      </c>
      <c r="D123" s="11">
        <v>18</v>
      </c>
      <c r="E123" s="11" t="s">
        <v>24</v>
      </c>
      <c r="F123" s="11" t="s">
        <v>39</v>
      </c>
      <c r="G123" s="11">
        <v>90</v>
      </c>
      <c r="H123" s="11">
        <v>4.2</v>
      </c>
      <c r="I123" s="11">
        <v>55</v>
      </c>
      <c r="J123" s="11">
        <v>62</v>
      </c>
      <c r="K123" s="11">
        <v>41</v>
      </c>
      <c r="L123" s="11">
        <v>48</v>
      </c>
      <c r="M123" s="11">
        <v>63</v>
      </c>
      <c r="N123" s="12">
        <f t="shared" si="4"/>
        <v>269</v>
      </c>
      <c r="O123" s="13">
        <f t="shared" si="5"/>
        <v>53.8</v>
      </c>
      <c r="P123" s="12" t="str">
        <f t="shared" si="6"/>
        <v>Improvement</v>
      </c>
      <c r="Q123" s="12" t="str">
        <f t="shared" si="7"/>
        <v>Bad</v>
      </c>
    </row>
    <row r="124" spans="1:17">
      <c r="A124" s="11" t="s">
        <v>254</v>
      </c>
      <c r="B124" s="11" t="s">
        <v>219</v>
      </c>
      <c r="C124" s="11" t="s">
        <v>19</v>
      </c>
      <c r="D124" s="11">
        <v>20</v>
      </c>
      <c r="E124" s="11" t="s">
        <v>48</v>
      </c>
      <c r="F124" s="11" t="s">
        <v>52</v>
      </c>
      <c r="G124" s="11">
        <v>86</v>
      </c>
      <c r="H124" s="11">
        <v>4.8</v>
      </c>
      <c r="I124" s="11">
        <v>86</v>
      </c>
      <c r="J124" s="11">
        <v>82</v>
      </c>
      <c r="K124" s="11">
        <v>92</v>
      </c>
      <c r="L124" s="11">
        <v>92</v>
      </c>
      <c r="M124" s="11">
        <v>84</v>
      </c>
      <c r="N124" s="12">
        <f t="shared" si="4"/>
        <v>436</v>
      </c>
      <c r="O124" s="13">
        <f t="shared" si="5"/>
        <v>87.2</v>
      </c>
      <c r="P124" s="12" t="str">
        <f t="shared" si="6"/>
        <v>TopPerformer</v>
      </c>
      <c r="Q124" s="12" t="str">
        <f t="shared" si="7"/>
        <v>Excellent</v>
      </c>
    </row>
    <row r="125" spans="1:17">
      <c r="A125" s="11" t="s">
        <v>255</v>
      </c>
      <c r="B125" s="11" t="s">
        <v>256</v>
      </c>
      <c r="C125" s="11" t="s">
        <v>19</v>
      </c>
      <c r="D125" s="11">
        <v>21</v>
      </c>
      <c r="E125" s="11" t="s">
        <v>27</v>
      </c>
      <c r="F125" s="11" t="s">
        <v>39</v>
      </c>
      <c r="G125" s="11">
        <v>75</v>
      </c>
      <c r="H125" s="11">
        <v>5.2</v>
      </c>
      <c r="I125" s="11">
        <v>66</v>
      </c>
      <c r="J125" s="11">
        <v>72</v>
      </c>
      <c r="K125" s="11">
        <v>57</v>
      </c>
      <c r="L125" s="11">
        <v>70</v>
      </c>
      <c r="M125" s="11">
        <v>83</v>
      </c>
      <c r="N125" s="12">
        <f t="shared" si="4"/>
        <v>348</v>
      </c>
      <c r="O125" s="13">
        <f t="shared" si="5"/>
        <v>69.6</v>
      </c>
      <c r="P125" s="12" t="str">
        <f t="shared" si="6"/>
        <v>Improvement</v>
      </c>
      <c r="Q125" s="12" t="str">
        <f t="shared" si="7"/>
        <v>Good</v>
      </c>
    </row>
    <row r="126" spans="1:17">
      <c r="A126" s="11" t="s">
        <v>257</v>
      </c>
      <c r="B126" s="11" t="s">
        <v>258</v>
      </c>
      <c r="C126" s="11" t="s">
        <v>30</v>
      </c>
      <c r="D126" s="11">
        <v>18</v>
      </c>
      <c r="E126" s="11" t="s">
        <v>24</v>
      </c>
      <c r="F126" s="11" t="s">
        <v>52</v>
      </c>
      <c r="G126" s="11">
        <v>78</v>
      </c>
      <c r="H126" s="11">
        <v>3.4</v>
      </c>
      <c r="I126" s="11">
        <v>66</v>
      </c>
      <c r="J126" s="11">
        <v>45</v>
      </c>
      <c r="K126" s="11">
        <v>66</v>
      </c>
      <c r="L126" s="11">
        <v>56</v>
      </c>
      <c r="M126" s="11">
        <v>62</v>
      </c>
      <c r="N126" s="12">
        <f t="shared" si="4"/>
        <v>295</v>
      </c>
      <c r="O126" s="13">
        <f t="shared" si="5"/>
        <v>59</v>
      </c>
      <c r="P126" s="12" t="str">
        <f t="shared" si="6"/>
        <v>Improvement</v>
      </c>
      <c r="Q126" s="12" t="str">
        <f t="shared" si="7"/>
        <v>Bad</v>
      </c>
    </row>
    <row r="127" spans="1:17">
      <c r="A127" s="11" t="s">
        <v>259</v>
      </c>
      <c r="B127" s="11" t="s">
        <v>260</v>
      </c>
      <c r="C127" s="11" t="s">
        <v>19</v>
      </c>
      <c r="D127" s="11">
        <v>21</v>
      </c>
      <c r="E127" s="11" t="s">
        <v>38</v>
      </c>
      <c r="F127" s="11" t="s">
        <v>21</v>
      </c>
      <c r="G127" s="11">
        <v>90</v>
      </c>
      <c r="H127" s="11">
        <v>1.5</v>
      </c>
      <c r="I127" s="11">
        <v>66</v>
      </c>
      <c r="J127" s="11">
        <v>50</v>
      </c>
      <c r="K127" s="11">
        <v>62</v>
      </c>
      <c r="L127" s="11">
        <v>66</v>
      </c>
      <c r="M127" s="11">
        <v>67</v>
      </c>
      <c r="N127" s="12">
        <f t="shared" si="4"/>
        <v>311</v>
      </c>
      <c r="O127" s="13">
        <f t="shared" si="5"/>
        <v>62.2</v>
      </c>
      <c r="P127" s="12" t="str">
        <f t="shared" si="6"/>
        <v>Improvement</v>
      </c>
      <c r="Q127" s="12" t="str">
        <f t="shared" si="7"/>
        <v>Good</v>
      </c>
    </row>
    <row r="128" spans="1:17">
      <c r="A128" s="11" t="s">
        <v>261</v>
      </c>
      <c r="B128" s="11" t="s">
        <v>262</v>
      </c>
      <c r="C128" s="11" t="s">
        <v>19</v>
      </c>
      <c r="D128" s="11">
        <v>19</v>
      </c>
      <c r="E128" s="11" t="s">
        <v>27</v>
      </c>
      <c r="F128" s="11" t="s">
        <v>52</v>
      </c>
      <c r="G128" s="11">
        <v>93</v>
      </c>
      <c r="H128" s="11">
        <v>1</v>
      </c>
      <c r="I128" s="11">
        <v>52</v>
      </c>
      <c r="J128" s="11">
        <v>39</v>
      </c>
      <c r="K128" s="11">
        <v>54</v>
      </c>
      <c r="L128" s="11">
        <v>63</v>
      </c>
      <c r="M128" s="11">
        <v>45</v>
      </c>
      <c r="N128" s="12">
        <f t="shared" si="4"/>
        <v>253</v>
      </c>
      <c r="O128" s="13">
        <f t="shared" si="5"/>
        <v>50.6</v>
      </c>
      <c r="P128" s="12" t="str">
        <f t="shared" si="6"/>
        <v>Improvement</v>
      </c>
      <c r="Q128" s="12" t="str">
        <f t="shared" si="7"/>
        <v>Bad</v>
      </c>
    </row>
    <row r="129" spans="1:17">
      <c r="A129" s="11" t="s">
        <v>263</v>
      </c>
      <c r="B129" s="11" t="s">
        <v>264</v>
      </c>
      <c r="C129" s="11" t="s">
        <v>30</v>
      </c>
      <c r="D129" s="11">
        <v>18</v>
      </c>
      <c r="E129" s="11" t="s">
        <v>20</v>
      </c>
      <c r="F129" s="11" t="s">
        <v>52</v>
      </c>
      <c r="G129" s="11">
        <v>95</v>
      </c>
      <c r="H129" s="11">
        <v>3</v>
      </c>
      <c r="I129" s="11">
        <v>52</v>
      </c>
      <c r="J129" s="11">
        <v>82</v>
      </c>
      <c r="K129" s="11">
        <v>72</v>
      </c>
      <c r="L129" s="11">
        <v>66</v>
      </c>
      <c r="M129" s="11">
        <v>72</v>
      </c>
      <c r="N129" s="12">
        <f t="shared" si="4"/>
        <v>344</v>
      </c>
      <c r="O129" s="13">
        <f t="shared" si="5"/>
        <v>68.8</v>
      </c>
      <c r="P129" s="12" t="str">
        <f t="shared" si="6"/>
        <v>Improvement</v>
      </c>
      <c r="Q129" s="12" t="str">
        <f t="shared" si="7"/>
        <v>Good</v>
      </c>
    </row>
    <row r="130" spans="1:17">
      <c r="A130" s="11" t="s">
        <v>265</v>
      </c>
      <c r="B130" s="11" t="s">
        <v>107</v>
      </c>
      <c r="C130" s="11" t="s">
        <v>30</v>
      </c>
      <c r="D130" s="11">
        <v>20</v>
      </c>
      <c r="E130" s="11" t="s">
        <v>34</v>
      </c>
      <c r="F130" s="11" t="s">
        <v>39</v>
      </c>
      <c r="G130" s="11">
        <v>80</v>
      </c>
      <c r="H130" s="11">
        <v>3.1</v>
      </c>
      <c r="I130" s="11">
        <v>62</v>
      </c>
      <c r="J130" s="11">
        <v>59</v>
      </c>
      <c r="K130" s="11">
        <v>62</v>
      </c>
      <c r="L130" s="11">
        <v>57</v>
      </c>
      <c r="M130" s="11">
        <v>61</v>
      </c>
      <c r="N130" s="12">
        <f t="shared" ref="N130:N193" si="8">SUM(I130:M130)</f>
        <v>301</v>
      </c>
      <c r="O130" s="13">
        <f t="shared" ref="O130:O193" si="9">AVERAGE(N130/5)</f>
        <v>60.2</v>
      </c>
      <c r="P130" s="12" t="str">
        <f t="shared" ref="P130:P193" si="10">IF(N130&gt;=400,"TopPerformer","Improvement")</f>
        <v>Improvement</v>
      </c>
      <c r="Q130" s="12" t="str">
        <f t="shared" ref="Q130:Q193" si="11">IF(N130&gt;=400,"Excellent",IF(N130&gt;=300,"Good",IF(N130&gt;=200,"Bad","Very Bad")))</f>
        <v>Good</v>
      </c>
    </row>
    <row r="131" spans="1:17">
      <c r="A131" s="11" t="s">
        <v>266</v>
      </c>
      <c r="B131" s="11" t="s">
        <v>68</v>
      </c>
      <c r="C131" s="11" t="s">
        <v>30</v>
      </c>
      <c r="D131" s="11">
        <v>21</v>
      </c>
      <c r="E131" s="11" t="s">
        <v>24</v>
      </c>
      <c r="F131" s="11" t="s">
        <v>21</v>
      </c>
      <c r="G131" s="11">
        <v>93</v>
      </c>
      <c r="H131" s="11">
        <v>5.9</v>
      </c>
      <c r="I131" s="11">
        <v>87</v>
      </c>
      <c r="J131" s="11">
        <v>77</v>
      </c>
      <c r="K131" s="11">
        <v>77</v>
      </c>
      <c r="L131" s="11">
        <v>69</v>
      </c>
      <c r="M131" s="11">
        <v>67</v>
      </c>
      <c r="N131" s="12">
        <f t="shared" si="8"/>
        <v>377</v>
      </c>
      <c r="O131" s="13">
        <f t="shared" si="9"/>
        <v>75.4</v>
      </c>
      <c r="P131" s="12" t="str">
        <f t="shared" si="10"/>
        <v>Improvement</v>
      </c>
      <c r="Q131" s="12" t="str">
        <f t="shared" si="11"/>
        <v>Good</v>
      </c>
    </row>
    <row r="132" spans="1:17">
      <c r="A132" s="11" t="s">
        <v>267</v>
      </c>
      <c r="B132" s="11" t="s">
        <v>268</v>
      </c>
      <c r="C132" s="11" t="s">
        <v>19</v>
      </c>
      <c r="D132" s="11">
        <v>21</v>
      </c>
      <c r="E132" s="11" t="s">
        <v>34</v>
      </c>
      <c r="F132" s="11" t="s">
        <v>105</v>
      </c>
      <c r="G132" s="11">
        <v>83</v>
      </c>
      <c r="H132" s="11">
        <v>2.4</v>
      </c>
      <c r="I132" s="11">
        <v>72</v>
      </c>
      <c r="J132" s="11">
        <v>70</v>
      </c>
      <c r="K132" s="11">
        <v>71</v>
      </c>
      <c r="L132" s="11">
        <v>62</v>
      </c>
      <c r="M132" s="11">
        <v>57</v>
      </c>
      <c r="N132" s="12">
        <f t="shared" si="8"/>
        <v>332</v>
      </c>
      <c r="O132" s="13">
        <f t="shared" si="9"/>
        <v>66.4</v>
      </c>
      <c r="P132" s="12" t="str">
        <f t="shared" si="10"/>
        <v>Improvement</v>
      </c>
      <c r="Q132" s="12" t="str">
        <f t="shared" si="11"/>
        <v>Good</v>
      </c>
    </row>
    <row r="133" spans="1:17">
      <c r="A133" s="11" t="s">
        <v>269</v>
      </c>
      <c r="B133" s="11" t="s">
        <v>126</v>
      </c>
      <c r="C133" s="11" t="s">
        <v>30</v>
      </c>
      <c r="D133" s="11">
        <v>20</v>
      </c>
      <c r="E133" s="11" t="s">
        <v>20</v>
      </c>
      <c r="F133" s="11" t="s">
        <v>64</v>
      </c>
      <c r="G133" s="11">
        <v>81</v>
      </c>
      <c r="H133" s="11">
        <v>3.1</v>
      </c>
      <c r="I133" s="11">
        <v>31</v>
      </c>
      <c r="J133" s="11">
        <v>49</v>
      </c>
      <c r="K133" s="11">
        <v>35</v>
      </c>
      <c r="L133" s="11">
        <v>43</v>
      </c>
      <c r="M133" s="11">
        <v>30</v>
      </c>
      <c r="N133" s="12">
        <f t="shared" si="8"/>
        <v>188</v>
      </c>
      <c r="O133" s="13">
        <f t="shared" si="9"/>
        <v>37.6</v>
      </c>
      <c r="P133" s="12" t="str">
        <f t="shared" si="10"/>
        <v>Improvement</v>
      </c>
      <c r="Q133" s="12" t="str">
        <f t="shared" si="11"/>
        <v>Very Bad</v>
      </c>
    </row>
    <row r="134" spans="1:17">
      <c r="A134" s="11" t="s">
        <v>270</v>
      </c>
      <c r="B134" s="11" t="s">
        <v>271</v>
      </c>
      <c r="C134" s="11" t="s">
        <v>19</v>
      </c>
      <c r="D134" s="11">
        <v>21</v>
      </c>
      <c r="E134" s="11" t="s">
        <v>24</v>
      </c>
      <c r="F134" s="11" t="s">
        <v>39</v>
      </c>
      <c r="G134" s="11">
        <v>100</v>
      </c>
      <c r="H134" s="11">
        <v>6.1</v>
      </c>
      <c r="I134" s="11">
        <v>71</v>
      </c>
      <c r="J134" s="11">
        <v>73</v>
      </c>
      <c r="K134" s="11">
        <v>79</v>
      </c>
      <c r="L134" s="11">
        <v>74</v>
      </c>
      <c r="M134" s="11">
        <v>72</v>
      </c>
      <c r="N134" s="12">
        <f t="shared" si="8"/>
        <v>369</v>
      </c>
      <c r="O134" s="13">
        <f t="shared" si="9"/>
        <v>73.8</v>
      </c>
      <c r="P134" s="12" t="str">
        <f t="shared" si="10"/>
        <v>Improvement</v>
      </c>
      <c r="Q134" s="12" t="str">
        <f t="shared" si="11"/>
        <v>Good</v>
      </c>
    </row>
    <row r="135" spans="1:17">
      <c r="A135" s="11" t="s">
        <v>272</v>
      </c>
      <c r="B135" s="11" t="s">
        <v>197</v>
      </c>
      <c r="C135" s="11" t="s">
        <v>30</v>
      </c>
      <c r="D135" s="11">
        <v>18</v>
      </c>
      <c r="E135" s="11" t="s">
        <v>24</v>
      </c>
      <c r="F135" s="11" t="s">
        <v>21</v>
      </c>
      <c r="G135" s="11">
        <v>82</v>
      </c>
      <c r="H135" s="11">
        <v>6.5</v>
      </c>
      <c r="I135" s="11">
        <v>85</v>
      </c>
      <c r="J135" s="11">
        <v>72</v>
      </c>
      <c r="K135" s="11">
        <v>71</v>
      </c>
      <c r="L135" s="11">
        <v>81</v>
      </c>
      <c r="M135" s="11">
        <v>85</v>
      </c>
      <c r="N135" s="12">
        <f t="shared" si="8"/>
        <v>394</v>
      </c>
      <c r="O135" s="13">
        <f t="shared" si="9"/>
        <v>78.8</v>
      </c>
      <c r="P135" s="12" t="str">
        <f t="shared" si="10"/>
        <v>Improvement</v>
      </c>
      <c r="Q135" s="12" t="str">
        <f t="shared" si="11"/>
        <v>Good</v>
      </c>
    </row>
    <row r="136" spans="1:17">
      <c r="A136" s="11" t="s">
        <v>273</v>
      </c>
      <c r="B136" s="11" t="s">
        <v>274</v>
      </c>
      <c r="C136" s="11" t="s">
        <v>19</v>
      </c>
      <c r="D136" s="11">
        <v>20</v>
      </c>
      <c r="E136" s="11" t="s">
        <v>48</v>
      </c>
      <c r="F136" s="11" t="s">
        <v>44</v>
      </c>
      <c r="G136" s="11">
        <v>69</v>
      </c>
      <c r="H136" s="11">
        <v>1.1</v>
      </c>
      <c r="I136" s="11">
        <v>60</v>
      </c>
      <c r="J136" s="11">
        <v>51</v>
      </c>
      <c r="K136" s="11">
        <v>33</v>
      </c>
      <c r="L136" s="11">
        <v>50</v>
      </c>
      <c r="M136" s="11">
        <v>50</v>
      </c>
      <c r="N136" s="12">
        <f t="shared" si="8"/>
        <v>244</v>
      </c>
      <c r="O136" s="13">
        <f t="shared" si="9"/>
        <v>48.8</v>
      </c>
      <c r="P136" s="12" t="str">
        <f t="shared" si="10"/>
        <v>Improvement</v>
      </c>
      <c r="Q136" s="12" t="str">
        <f t="shared" si="11"/>
        <v>Bad</v>
      </c>
    </row>
    <row r="137" spans="1:17">
      <c r="A137" s="11" t="s">
        <v>275</v>
      </c>
      <c r="B137" s="11" t="s">
        <v>199</v>
      </c>
      <c r="C137" s="11" t="s">
        <v>30</v>
      </c>
      <c r="D137" s="11">
        <v>22</v>
      </c>
      <c r="E137" s="11" t="s">
        <v>27</v>
      </c>
      <c r="F137" s="11" t="s">
        <v>31</v>
      </c>
      <c r="G137" s="11">
        <v>97</v>
      </c>
      <c r="H137" s="11">
        <v>4.5</v>
      </c>
      <c r="I137" s="11">
        <v>75</v>
      </c>
      <c r="J137" s="11">
        <v>77</v>
      </c>
      <c r="K137" s="11">
        <v>81</v>
      </c>
      <c r="L137" s="11">
        <v>68</v>
      </c>
      <c r="M137" s="11">
        <v>81</v>
      </c>
      <c r="N137" s="12">
        <f t="shared" si="8"/>
        <v>382</v>
      </c>
      <c r="O137" s="13">
        <f t="shared" si="9"/>
        <v>76.4</v>
      </c>
      <c r="P137" s="12" t="str">
        <f t="shared" si="10"/>
        <v>Improvement</v>
      </c>
      <c r="Q137" s="12" t="str">
        <f t="shared" si="11"/>
        <v>Good</v>
      </c>
    </row>
    <row r="138" spans="1:17">
      <c r="A138" s="11" t="s">
        <v>276</v>
      </c>
      <c r="B138" s="11" t="s">
        <v>277</v>
      </c>
      <c r="C138" s="11" t="s">
        <v>30</v>
      </c>
      <c r="D138" s="11">
        <v>19</v>
      </c>
      <c r="E138" s="11" t="s">
        <v>38</v>
      </c>
      <c r="F138" s="11" t="s">
        <v>105</v>
      </c>
      <c r="G138" s="11">
        <v>76</v>
      </c>
      <c r="H138" s="11">
        <v>3.8</v>
      </c>
      <c r="I138" s="11">
        <v>50</v>
      </c>
      <c r="J138" s="11">
        <v>56</v>
      </c>
      <c r="K138" s="11">
        <v>50</v>
      </c>
      <c r="L138" s="11">
        <v>61</v>
      </c>
      <c r="M138" s="11">
        <v>49</v>
      </c>
      <c r="N138" s="12">
        <f t="shared" si="8"/>
        <v>266</v>
      </c>
      <c r="O138" s="13">
        <f t="shared" si="9"/>
        <v>53.2</v>
      </c>
      <c r="P138" s="12" t="str">
        <f t="shared" si="10"/>
        <v>Improvement</v>
      </c>
      <c r="Q138" s="12" t="str">
        <f t="shared" si="11"/>
        <v>Bad</v>
      </c>
    </row>
    <row r="139" spans="1:17">
      <c r="A139" s="11" t="s">
        <v>278</v>
      </c>
      <c r="B139" s="11" t="s">
        <v>83</v>
      </c>
      <c r="C139" s="11" t="s">
        <v>19</v>
      </c>
      <c r="D139" s="11">
        <v>20</v>
      </c>
      <c r="E139" s="11" t="s">
        <v>20</v>
      </c>
      <c r="F139" s="11" t="s">
        <v>21</v>
      </c>
      <c r="G139" s="11">
        <v>76</v>
      </c>
      <c r="H139" s="11">
        <v>5.8</v>
      </c>
      <c r="I139" s="11">
        <v>72</v>
      </c>
      <c r="J139" s="11">
        <v>77</v>
      </c>
      <c r="K139" s="11">
        <v>56</v>
      </c>
      <c r="L139" s="11">
        <v>73</v>
      </c>
      <c r="M139" s="11">
        <v>89</v>
      </c>
      <c r="N139" s="12">
        <f t="shared" si="8"/>
        <v>367</v>
      </c>
      <c r="O139" s="13">
        <f t="shared" si="9"/>
        <v>73.4</v>
      </c>
      <c r="P139" s="12" t="str">
        <f t="shared" si="10"/>
        <v>Improvement</v>
      </c>
      <c r="Q139" s="12" t="str">
        <f t="shared" si="11"/>
        <v>Good</v>
      </c>
    </row>
    <row r="140" spans="1:17">
      <c r="A140" s="11" t="s">
        <v>279</v>
      </c>
      <c r="B140" s="11" t="s">
        <v>280</v>
      </c>
      <c r="C140" s="11" t="s">
        <v>19</v>
      </c>
      <c r="D140" s="11">
        <v>18</v>
      </c>
      <c r="E140" s="11" t="s">
        <v>38</v>
      </c>
      <c r="F140" s="11" t="s">
        <v>44</v>
      </c>
      <c r="G140" s="11">
        <v>90</v>
      </c>
      <c r="H140" s="11">
        <v>1</v>
      </c>
      <c r="I140" s="11">
        <v>45</v>
      </c>
      <c r="J140" s="11">
        <v>37</v>
      </c>
      <c r="K140" s="11">
        <v>54</v>
      </c>
      <c r="L140" s="11">
        <v>41</v>
      </c>
      <c r="M140" s="11">
        <v>30</v>
      </c>
      <c r="N140" s="12">
        <f t="shared" si="8"/>
        <v>207</v>
      </c>
      <c r="O140" s="13">
        <f t="shared" si="9"/>
        <v>41.4</v>
      </c>
      <c r="P140" s="12" t="str">
        <f t="shared" si="10"/>
        <v>Improvement</v>
      </c>
      <c r="Q140" s="12" t="str">
        <f t="shared" si="11"/>
        <v>Bad</v>
      </c>
    </row>
    <row r="141" spans="1:17">
      <c r="A141" s="11" t="s">
        <v>281</v>
      </c>
      <c r="B141" s="11" t="s">
        <v>256</v>
      </c>
      <c r="C141" s="11" t="s">
        <v>30</v>
      </c>
      <c r="D141" s="11">
        <v>20</v>
      </c>
      <c r="E141" s="11" t="s">
        <v>24</v>
      </c>
      <c r="F141" s="11" t="s">
        <v>52</v>
      </c>
      <c r="G141" s="11">
        <v>80</v>
      </c>
      <c r="H141" s="11">
        <v>3.2</v>
      </c>
      <c r="I141" s="11">
        <v>79</v>
      </c>
      <c r="J141" s="11">
        <v>68</v>
      </c>
      <c r="K141" s="11">
        <v>52</v>
      </c>
      <c r="L141" s="11">
        <v>74</v>
      </c>
      <c r="M141" s="11">
        <v>73</v>
      </c>
      <c r="N141" s="12">
        <f t="shared" si="8"/>
        <v>346</v>
      </c>
      <c r="O141" s="13">
        <f t="shared" si="9"/>
        <v>69.2</v>
      </c>
      <c r="P141" s="12" t="str">
        <f t="shared" si="10"/>
        <v>Improvement</v>
      </c>
      <c r="Q141" s="12" t="str">
        <f t="shared" si="11"/>
        <v>Good</v>
      </c>
    </row>
    <row r="142" spans="1:17">
      <c r="A142" s="11" t="s">
        <v>282</v>
      </c>
      <c r="B142" s="11" t="s">
        <v>283</v>
      </c>
      <c r="C142" s="11" t="s">
        <v>19</v>
      </c>
      <c r="D142" s="11">
        <v>21</v>
      </c>
      <c r="E142" s="11" t="s">
        <v>24</v>
      </c>
      <c r="F142" s="11" t="s">
        <v>21</v>
      </c>
      <c r="G142" s="11">
        <v>100</v>
      </c>
      <c r="H142" s="11">
        <v>2.4</v>
      </c>
      <c r="I142" s="11">
        <v>54</v>
      </c>
      <c r="J142" s="11">
        <v>60</v>
      </c>
      <c r="K142" s="11">
        <v>80</v>
      </c>
      <c r="L142" s="11">
        <v>66</v>
      </c>
      <c r="M142" s="11">
        <v>75</v>
      </c>
      <c r="N142" s="12">
        <f t="shared" si="8"/>
        <v>335</v>
      </c>
      <c r="O142" s="13">
        <f t="shared" si="9"/>
        <v>67</v>
      </c>
      <c r="P142" s="12" t="str">
        <f t="shared" si="10"/>
        <v>Improvement</v>
      </c>
      <c r="Q142" s="12" t="str">
        <f t="shared" si="11"/>
        <v>Good</v>
      </c>
    </row>
    <row r="143" spans="1:17">
      <c r="A143" s="11" t="s">
        <v>284</v>
      </c>
      <c r="B143" s="11" t="s">
        <v>58</v>
      </c>
      <c r="C143" s="11" t="s">
        <v>19</v>
      </c>
      <c r="D143" s="11">
        <v>22</v>
      </c>
      <c r="E143" s="11" t="s">
        <v>34</v>
      </c>
      <c r="F143" s="11" t="s">
        <v>64</v>
      </c>
      <c r="G143" s="11">
        <v>79</v>
      </c>
      <c r="H143" s="11">
        <v>1.1</v>
      </c>
      <c r="I143" s="11">
        <v>52</v>
      </c>
      <c r="J143" s="11">
        <v>50</v>
      </c>
      <c r="K143" s="11">
        <v>35</v>
      </c>
      <c r="L143" s="11">
        <v>41</v>
      </c>
      <c r="M143" s="11">
        <v>43</v>
      </c>
      <c r="N143" s="12">
        <f t="shared" si="8"/>
        <v>221</v>
      </c>
      <c r="O143" s="13">
        <f t="shared" si="9"/>
        <v>44.2</v>
      </c>
      <c r="P143" s="12" t="str">
        <f t="shared" si="10"/>
        <v>Improvement</v>
      </c>
      <c r="Q143" s="12" t="str">
        <f t="shared" si="11"/>
        <v>Bad</v>
      </c>
    </row>
    <row r="144" spans="1:17">
      <c r="A144" s="11" t="s">
        <v>285</v>
      </c>
      <c r="B144" s="11" t="s">
        <v>142</v>
      </c>
      <c r="C144" s="11" t="s">
        <v>30</v>
      </c>
      <c r="D144" s="11">
        <v>18</v>
      </c>
      <c r="E144" s="11" t="s">
        <v>27</v>
      </c>
      <c r="F144" s="11" t="s">
        <v>35</v>
      </c>
      <c r="G144" s="11">
        <v>75</v>
      </c>
      <c r="H144" s="11">
        <v>5</v>
      </c>
      <c r="I144" s="11">
        <v>72</v>
      </c>
      <c r="J144" s="11">
        <v>70</v>
      </c>
      <c r="K144" s="11">
        <v>74</v>
      </c>
      <c r="L144" s="11">
        <v>67</v>
      </c>
      <c r="M144" s="11">
        <v>64</v>
      </c>
      <c r="N144" s="12">
        <f t="shared" si="8"/>
        <v>347</v>
      </c>
      <c r="O144" s="13">
        <f t="shared" si="9"/>
        <v>69.4</v>
      </c>
      <c r="P144" s="12" t="str">
        <f t="shared" si="10"/>
        <v>Improvement</v>
      </c>
      <c r="Q144" s="12" t="str">
        <f t="shared" si="11"/>
        <v>Good</v>
      </c>
    </row>
    <row r="145" spans="1:17">
      <c r="A145" s="11" t="s">
        <v>286</v>
      </c>
      <c r="B145" s="11" t="s">
        <v>287</v>
      </c>
      <c r="C145" s="11" t="s">
        <v>19</v>
      </c>
      <c r="D145" s="11">
        <v>19</v>
      </c>
      <c r="E145" s="11" t="s">
        <v>34</v>
      </c>
      <c r="F145" s="11" t="s">
        <v>52</v>
      </c>
      <c r="G145" s="11">
        <v>83</v>
      </c>
      <c r="H145" s="11">
        <v>4.9</v>
      </c>
      <c r="I145" s="11">
        <v>58</v>
      </c>
      <c r="J145" s="11">
        <v>56</v>
      </c>
      <c r="K145" s="11">
        <v>60</v>
      </c>
      <c r="L145" s="11">
        <v>58</v>
      </c>
      <c r="M145" s="11">
        <v>46</v>
      </c>
      <c r="N145" s="12">
        <f t="shared" si="8"/>
        <v>278</v>
      </c>
      <c r="O145" s="13">
        <f t="shared" si="9"/>
        <v>55.6</v>
      </c>
      <c r="P145" s="12" t="str">
        <f t="shared" si="10"/>
        <v>Improvement</v>
      </c>
      <c r="Q145" s="12" t="str">
        <f t="shared" si="11"/>
        <v>Bad</v>
      </c>
    </row>
    <row r="146" spans="1:17">
      <c r="A146" s="11" t="s">
        <v>288</v>
      </c>
      <c r="B146" s="11" t="s">
        <v>128</v>
      </c>
      <c r="C146" s="11" t="s">
        <v>30</v>
      </c>
      <c r="D146" s="11">
        <v>20</v>
      </c>
      <c r="E146" s="11" t="s">
        <v>38</v>
      </c>
      <c r="F146" s="11" t="s">
        <v>64</v>
      </c>
      <c r="G146" s="11">
        <v>62</v>
      </c>
      <c r="H146" s="11">
        <v>4.3</v>
      </c>
      <c r="I146" s="11">
        <v>69</v>
      </c>
      <c r="J146" s="11">
        <v>75</v>
      </c>
      <c r="K146" s="11">
        <v>65</v>
      </c>
      <c r="L146" s="11">
        <v>69</v>
      </c>
      <c r="M146" s="11">
        <v>57</v>
      </c>
      <c r="N146" s="12">
        <f t="shared" si="8"/>
        <v>335</v>
      </c>
      <c r="O146" s="13">
        <f t="shared" si="9"/>
        <v>67</v>
      </c>
      <c r="P146" s="12" t="str">
        <f t="shared" si="10"/>
        <v>Improvement</v>
      </c>
      <c r="Q146" s="12" t="str">
        <f t="shared" si="11"/>
        <v>Good</v>
      </c>
    </row>
    <row r="147" spans="1:17">
      <c r="A147" s="11" t="s">
        <v>289</v>
      </c>
      <c r="B147" s="11" t="s">
        <v>290</v>
      </c>
      <c r="C147" s="11" t="s">
        <v>19</v>
      </c>
      <c r="D147" s="11">
        <v>18</v>
      </c>
      <c r="E147" s="11" t="s">
        <v>34</v>
      </c>
      <c r="F147" s="11" t="s">
        <v>31</v>
      </c>
      <c r="G147" s="11">
        <v>77</v>
      </c>
      <c r="H147" s="11">
        <v>1.7</v>
      </c>
      <c r="I147" s="11">
        <v>43</v>
      </c>
      <c r="J147" s="11">
        <v>39</v>
      </c>
      <c r="K147" s="11">
        <v>48</v>
      </c>
      <c r="L147" s="11">
        <v>48</v>
      </c>
      <c r="M147" s="11">
        <v>47</v>
      </c>
      <c r="N147" s="12">
        <f t="shared" si="8"/>
        <v>225</v>
      </c>
      <c r="O147" s="13">
        <f t="shared" si="9"/>
        <v>45</v>
      </c>
      <c r="P147" s="12" t="str">
        <f t="shared" si="10"/>
        <v>Improvement</v>
      </c>
      <c r="Q147" s="12" t="str">
        <f t="shared" si="11"/>
        <v>Bad</v>
      </c>
    </row>
    <row r="148" spans="1:17">
      <c r="A148" s="11" t="s">
        <v>291</v>
      </c>
      <c r="B148" s="11" t="s">
        <v>292</v>
      </c>
      <c r="C148" s="11" t="s">
        <v>19</v>
      </c>
      <c r="D148" s="11">
        <v>22</v>
      </c>
      <c r="E148" s="11" t="s">
        <v>34</v>
      </c>
      <c r="F148" s="11" t="s">
        <v>35</v>
      </c>
      <c r="G148" s="11">
        <v>81</v>
      </c>
      <c r="H148" s="11">
        <v>5.5</v>
      </c>
      <c r="I148" s="11">
        <v>68</v>
      </c>
      <c r="J148" s="11">
        <v>77</v>
      </c>
      <c r="K148" s="11">
        <v>91</v>
      </c>
      <c r="L148" s="11">
        <v>84</v>
      </c>
      <c r="M148" s="11">
        <v>81</v>
      </c>
      <c r="N148" s="12">
        <f t="shared" si="8"/>
        <v>401</v>
      </c>
      <c r="O148" s="13">
        <f t="shared" si="9"/>
        <v>80.2</v>
      </c>
      <c r="P148" s="12" t="str">
        <f t="shared" si="10"/>
        <v>TopPerformer</v>
      </c>
      <c r="Q148" s="12" t="str">
        <f t="shared" si="11"/>
        <v>Excellent</v>
      </c>
    </row>
    <row r="149" spans="1:17">
      <c r="A149" s="11" t="s">
        <v>293</v>
      </c>
      <c r="B149" s="11" t="s">
        <v>203</v>
      </c>
      <c r="C149" s="11" t="s">
        <v>19</v>
      </c>
      <c r="D149" s="11">
        <v>21</v>
      </c>
      <c r="E149" s="11" t="s">
        <v>48</v>
      </c>
      <c r="F149" s="11" t="s">
        <v>105</v>
      </c>
      <c r="G149" s="11">
        <v>79</v>
      </c>
      <c r="H149" s="11">
        <v>3.7</v>
      </c>
      <c r="I149" s="11">
        <v>58</v>
      </c>
      <c r="J149" s="11">
        <v>68</v>
      </c>
      <c r="K149" s="11">
        <v>87</v>
      </c>
      <c r="L149" s="11">
        <v>50</v>
      </c>
      <c r="M149" s="11">
        <v>66</v>
      </c>
      <c r="N149" s="12">
        <f t="shared" si="8"/>
        <v>329</v>
      </c>
      <c r="O149" s="13">
        <f t="shared" si="9"/>
        <v>65.8</v>
      </c>
      <c r="P149" s="12" t="str">
        <f t="shared" si="10"/>
        <v>Improvement</v>
      </c>
      <c r="Q149" s="12" t="str">
        <f t="shared" si="11"/>
        <v>Good</v>
      </c>
    </row>
    <row r="150" spans="1:17">
      <c r="A150" s="11" t="s">
        <v>294</v>
      </c>
      <c r="B150" s="11" t="s">
        <v>295</v>
      </c>
      <c r="C150" s="11" t="s">
        <v>19</v>
      </c>
      <c r="D150" s="11">
        <v>21</v>
      </c>
      <c r="E150" s="11" t="s">
        <v>38</v>
      </c>
      <c r="F150" s="11" t="s">
        <v>35</v>
      </c>
      <c r="G150" s="11">
        <v>88</v>
      </c>
      <c r="H150" s="11">
        <v>5.6</v>
      </c>
      <c r="I150" s="11">
        <v>83</v>
      </c>
      <c r="J150" s="11">
        <v>55</v>
      </c>
      <c r="K150" s="11">
        <v>87</v>
      </c>
      <c r="L150" s="11">
        <v>77</v>
      </c>
      <c r="M150" s="11">
        <v>83</v>
      </c>
      <c r="N150" s="12">
        <f t="shared" si="8"/>
        <v>385</v>
      </c>
      <c r="O150" s="13">
        <f t="shared" si="9"/>
        <v>77</v>
      </c>
      <c r="P150" s="12" t="str">
        <f t="shared" si="10"/>
        <v>Improvement</v>
      </c>
      <c r="Q150" s="12" t="str">
        <f t="shared" si="11"/>
        <v>Good</v>
      </c>
    </row>
    <row r="151" spans="1:17">
      <c r="A151" s="11" t="s">
        <v>296</v>
      </c>
      <c r="B151" s="11" t="s">
        <v>297</v>
      </c>
      <c r="C151" s="11" t="s">
        <v>30</v>
      </c>
      <c r="D151" s="11">
        <v>20</v>
      </c>
      <c r="E151" s="11" t="s">
        <v>24</v>
      </c>
      <c r="F151" s="11" t="s">
        <v>21</v>
      </c>
      <c r="G151" s="11">
        <v>81</v>
      </c>
      <c r="H151" s="11">
        <v>4.2</v>
      </c>
      <c r="I151" s="11">
        <v>59</v>
      </c>
      <c r="J151" s="11">
        <v>81</v>
      </c>
      <c r="K151" s="11">
        <v>73</v>
      </c>
      <c r="L151" s="11">
        <v>72</v>
      </c>
      <c r="M151" s="11">
        <v>61</v>
      </c>
      <c r="N151" s="12">
        <f t="shared" si="8"/>
        <v>346</v>
      </c>
      <c r="O151" s="13">
        <f t="shared" si="9"/>
        <v>69.2</v>
      </c>
      <c r="P151" s="12" t="str">
        <f t="shared" si="10"/>
        <v>Improvement</v>
      </c>
      <c r="Q151" s="12" t="str">
        <f t="shared" si="11"/>
        <v>Good</v>
      </c>
    </row>
    <row r="152" spans="1:17">
      <c r="A152" s="11" t="s">
        <v>298</v>
      </c>
      <c r="B152" s="11" t="s">
        <v>299</v>
      </c>
      <c r="C152" s="11" t="s">
        <v>19</v>
      </c>
      <c r="D152" s="11">
        <v>21</v>
      </c>
      <c r="E152" s="11" t="s">
        <v>48</v>
      </c>
      <c r="F152" s="11" t="s">
        <v>105</v>
      </c>
      <c r="G152" s="11">
        <v>87</v>
      </c>
      <c r="H152" s="11">
        <v>1.6</v>
      </c>
      <c r="I152" s="11">
        <v>56</v>
      </c>
      <c r="J152" s="11">
        <v>66</v>
      </c>
      <c r="K152" s="11">
        <v>55</v>
      </c>
      <c r="L152" s="11">
        <v>51</v>
      </c>
      <c r="M152" s="11">
        <v>53</v>
      </c>
      <c r="N152" s="12">
        <f t="shared" si="8"/>
        <v>281</v>
      </c>
      <c r="O152" s="13">
        <f t="shared" si="9"/>
        <v>56.2</v>
      </c>
      <c r="P152" s="12" t="str">
        <f t="shared" si="10"/>
        <v>Improvement</v>
      </c>
      <c r="Q152" s="12" t="str">
        <f t="shared" si="11"/>
        <v>Bad</v>
      </c>
    </row>
    <row r="153" spans="1:17">
      <c r="A153" s="11" t="s">
        <v>300</v>
      </c>
      <c r="B153" s="11" t="s">
        <v>271</v>
      </c>
      <c r="C153" s="11" t="s">
        <v>30</v>
      </c>
      <c r="D153" s="11">
        <v>19</v>
      </c>
      <c r="E153" s="11" t="s">
        <v>48</v>
      </c>
      <c r="F153" s="11" t="s">
        <v>35</v>
      </c>
      <c r="G153" s="11">
        <v>79</v>
      </c>
      <c r="H153" s="11">
        <v>1.4</v>
      </c>
      <c r="I153" s="11">
        <v>43</v>
      </c>
      <c r="J153" s="11">
        <v>63</v>
      </c>
      <c r="K153" s="11">
        <v>58</v>
      </c>
      <c r="L153" s="11">
        <v>76</v>
      </c>
      <c r="M153" s="11">
        <v>48</v>
      </c>
      <c r="N153" s="12">
        <f t="shared" si="8"/>
        <v>288</v>
      </c>
      <c r="O153" s="13">
        <f t="shared" si="9"/>
        <v>57.6</v>
      </c>
      <c r="P153" s="12" t="str">
        <f t="shared" si="10"/>
        <v>Improvement</v>
      </c>
      <c r="Q153" s="12" t="str">
        <f t="shared" si="11"/>
        <v>Bad</v>
      </c>
    </row>
    <row r="154" spans="1:17">
      <c r="A154" s="11" t="s">
        <v>301</v>
      </c>
      <c r="B154" s="11" t="s">
        <v>302</v>
      </c>
      <c r="C154" s="11" t="s">
        <v>19</v>
      </c>
      <c r="D154" s="11">
        <v>18</v>
      </c>
      <c r="E154" s="11" t="s">
        <v>20</v>
      </c>
      <c r="F154" s="11" t="s">
        <v>52</v>
      </c>
      <c r="G154" s="11">
        <v>75</v>
      </c>
      <c r="H154" s="11">
        <v>4.1</v>
      </c>
      <c r="I154" s="11">
        <v>66</v>
      </c>
      <c r="J154" s="11">
        <v>58</v>
      </c>
      <c r="K154" s="11">
        <v>63</v>
      </c>
      <c r="L154" s="11">
        <v>51</v>
      </c>
      <c r="M154" s="11">
        <v>65</v>
      </c>
      <c r="N154" s="12">
        <f t="shared" si="8"/>
        <v>303</v>
      </c>
      <c r="O154" s="13">
        <f t="shared" si="9"/>
        <v>60.6</v>
      </c>
      <c r="P154" s="12" t="str">
        <f t="shared" si="10"/>
        <v>Improvement</v>
      </c>
      <c r="Q154" s="12" t="str">
        <f t="shared" si="11"/>
        <v>Good</v>
      </c>
    </row>
    <row r="155" spans="1:17">
      <c r="A155" s="11" t="s">
        <v>303</v>
      </c>
      <c r="B155" s="11" t="s">
        <v>304</v>
      </c>
      <c r="C155" s="11" t="s">
        <v>30</v>
      </c>
      <c r="D155" s="11">
        <v>19</v>
      </c>
      <c r="E155" s="11" t="s">
        <v>48</v>
      </c>
      <c r="F155" s="11" t="s">
        <v>105</v>
      </c>
      <c r="G155" s="11">
        <v>90</v>
      </c>
      <c r="H155" s="11">
        <v>4.3</v>
      </c>
      <c r="I155" s="11">
        <v>61</v>
      </c>
      <c r="J155" s="11">
        <v>51</v>
      </c>
      <c r="K155" s="11">
        <v>55</v>
      </c>
      <c r="L155" s="11">
        <v>59</v>
      </c>
      <c r="M155" s="11">
        <v>73</v>
      </c>
      <c r="N155" s="12">
        <f t="shared" si="8"/>
        <v>299</v>
      </c>
      <c r="O155" s="13">
        <f t="shared" si="9"/>
        <v>59.8</v>
      </c>
      <c r="P155" s="12" t="str">
        <f t="shared" si="10"/>
        <v>Improvement</v>
      </c>
      <c r="Q155" s="12" t="str">
        <f t="shared" si="11"/>
        <v>Bad</v>
      </c>
    </row>
    <row r="156" spans="1:17">
      <c r="A156" s="11" t="s">
        <v>305</v>
      </c>
      <c r="B156" s="11" t="s">
        <v>85</v>
      </c>
      <c r="C156" s="11" t="s">
        <v>19</v>
      </c>
      <c r="D156" s="11">
        <v>22</v>
      </c>
      <c r="E156" s="11" t="s">
        <v>20</v>
      </c>
      <c r="F156" s="11" t="s">
        <v>21</v>
      </c>
      <c r="G156" s="11">
        <v>84</v>
      </c>
      <c r="H156" s="11">
        <v>3.6</v>
      </c>
      <c r="I156" s="11">
        <v>66</v>
      </c>
      <c r="J156" s="11">
        <v>57</v>
      </c>
      <c r="K156" s="11">
        <v>59</v>
      </c>
      <c r="L156" s="11">
        <v>66</v>
      </c>
      <c r="M156" s="11">
        <v>60</v>
      </c>
      <c r="N156" s="12">
        <f t="shared" si="8"/>
        <v>308</v>
      </c>
      <c r="O156" s="13">
        <f t="shared" si="9"/>
        <v>61.6</v>
      </c>
      <c r="P156" s="12" t="str">
        <f t="shared" si="10"/>
        <v>Improvement</v>
      </c>
      <c r="Q156" s="12" t="str">
        <f t="shared" si="11"/>
        <v>Good</v>
      </c>
    </row>
    <row r="157" spans="1:17">
      <c r="A157" s="11" t="s">
        <v>306</v>
      </c>
      <c r="B157" s="11" t="s">
        <v>268</v>
      </c>
      <c r="C157" s="11" t="s">
        <v>30</v>
      </c>
      <c r="D157" s="11">
        <v>21</v>
      </c>
      <c r="E157" s="11" t="s">
        <v>48</v>
      </c>
      <c r="F157" s="11" t="s">
        <v>31</v>
      </c>
      <c r="G157" s="11">
        <v>66</v>
      </c>
      <c r="H157" s="11">
        <v>4.1</v>
      </c>
      <c r="I157" s="11">
        <v>50</v>
      </c>
      <c r="J157" s="11">
        <v>55</v>
      </c>
      <c r="K157" s="11">
        <v>35</v>
      </c>
      <c r="L157" s="11">
        <v>56</v>
      </c>
      <c r="M157" s="11">
        <v>69</v>
      </c>
      <c r="N157" s="12">
        <f t="shared" si="8"/>
        <v>265</v>
      </c>
      <c r="O157" s="13">
        <f t="shared" si="9"/>
        <v>53</v>
      </c>
      <c r="P157" s="12" t="str">
        <f t="shared" si="10"/>
        <v>Improvement</v>
      </c>
      <c r="Q157" s="12" t="str">
        <f t="shared" si="11"/>
        <v>Bad</v>
      </c>
    </row>
    <row r="158" spans="1:17">
      <c r="A158" s="11" t="s">
        <v>307</v>
      </c>
      <c r="B158" s="11" t="s">
        <v>308</v>
      </c>
      <c r="C158" s="11" t="s">
        <v>19</v>
      </c>
      <c r="D158" s="11">
        <v>19</v>
      </c>
      <c r="E158" s="11" t="s">
        <v>24</v>
      </c>
      <c r="F158" s="11" t="s">
        <v>31</v>
      </c>
      <c r="G158" s="11">
        <v>80</v>
      </c>
      <c r="H158" s="11">
        <v>2.9</v>
      </c>
      <c r="I158" s="11">
        <v>49</v>
      </c>
      <c r="J158" s="11">
        <v>43</v>
      </c>
      <c r="K158" s="11">
        <v>36</v>
      </c>
      <c r="L158" s="11">
        <v>45</v>
      </c>
      <c r="M158" s="11">
        <v>40</v>
      </c>
      <c r="N158" s="12">
        <f t="shared" si="8"/>
        <v>213</v>
      </c>
      <c r="O158" s="13">
        <f t="shared" si="9"/>
        <v>42.6</v>
      </c>
      <c r="P158" s="12" t="str">
        <f t="shared" si="10"/>
        <v>Improvement</v>
      </c>
      <c r="Q158" s="12" t="str">
        <f t="shared" si="11"/>
        <v>Bad</v>
      </c>
    </row>
    <row r="159" spans="1:17">
      <c r="A159" s="11" t="s">
        <v>309</v>
      </c>
      <c r="B159" s="11" t="s">
        <v>310</v>
      </c>
      <c r="C159" s="11" t="s">
        <v>30</v>
      </c>
      <c r="D159" s="11">
        <v>19</v>
      </c>
      <c r="E159" s="11" t="s">
        <v>34</v>
      </c>
      <c r="F159" s="11" t="s">
        <v>31</v>
      </c>
      <c r="G159" s="11">
        <v>91</v>
      </c>
      <c r="H159" s="11">
        <v>1.7</v>
      </c>
      <c r="I159" s="11">
        <v>69</v>
      </c>
      <c r="J159" s="11">
        <v>62</v>
      </c>
      <c r="K159" s="11">
        <v>54</v>
      </c>
      <c r="L159" s="11">
        <v>46</v>
      </c>
      <c r="M159" s="11">
        <v>49</v>
      </c>
      <c r="N159" s="12">
        <f t="shared" si="8"/>
        <v>280</v>
      </c>
      <c r="O159" s="13">
        <f t="shared" si="9"/>
        <v>56</v>
      </c>
      <c r="P159" s="12" t="str">
        <f t="shared" si="10"/>
        <v>Improvement</v>
      </c>
      <c r="Q159" s="12" t="str">
        <f t="shared" si="11"/>
        <v>Bad</v>
      </c>
    </row>
    <row r="160" spans="1:17">
      <c r="A160" s="11" t="s">
        <v>311</v>
      </c>
      <c r="B160" s="11" t="s">
        <v>312</v>
      </c>
      <c r="C160" s="11" t="s">
        <v>19</v>
      </c>
      <c r="D160" s="11">
        <v>20</v>
      </c>
      <c r="E160" s="11" t="s">
        <v>24</v>
      </c>
      <c r="F160" s="11" t="s">
        <v>52</v>
      </c>
      <c r="G160" s="11">
        <v>81</v>
      </c>
      <c r="H160" s="11">
        <v>3.5</v>
      </c>
      <c r="I160" s="11">
        <v>49</v>
      </c>
      <c r="J160" s="11">
        <v>60</v>
      </c>
      <c r="K160" s="11">
        <v>42</v>
      </c>
      <c r="L160" s="11">
        <v>51</v>
      </c>
      <c r="M160" s="11">
        <v>46</v>
      </c>
      <c r="N160" s="12">
        <f t="shared" si="8"/>
        <v>248</v>
      </c>
      <c r="O160" s="13">
        <f t="shared" si="9"/>
        <v>49.6</v>
      </c>
      <c r="P160" s="12" t="str">
        <f t="shared" si="10"/>
        <v>Improvement</v>
      </c>
      <c r="Q160" s="12" t="str">
        <f t="shared" si="11"/>
        <v>Bad</v>
      </c>
    </row>
    <row r="161" spans="1:17">
      <c r="A161" s="11" t="s">
        <v>313</v>
      </c>
      <c r="B161" s="11" t="s">
        <v>280</v>
      </c>
      <c r="C161" s="11" t="s">
        <v>30</v>
      </c>
      <c r="D161" s="11">
        <v>21</v>
      </c>
      <c r="E161" s="11" t="s">
        <v>38</v>
      </c>
      <c r="F161" s="11" t="s">
        <v>31</v>
      </c>
      <c r="G161" s="11">
        <v>86</v>
      </c>
      <c r="H161" s="11">
        <v>1.8</v>
      </c>
      <c r="I161" s="11">
        <v>56</v>
      </c>
      <c r="J161" s="11">
        <v>57</v>
      </c>
      <c r="K161" s="11">
        <v>64</v>
      </c>
      <c r="L161" s="11">
        <v>58</v>
      </c>
      <c r="M161" s="11">
        <v>69</v>
      </c>
      <c r="N161" s="12">
        <f t="shared" si="8"/>
        <v>304</v>
      </c>
      <c r="O161" s="13">
        <f t="shared" si="9"/>
        <v>60.8</v>
      </c>
      <c r="P161" s="12" t="str">
        <f t="shared" si="10"/>
        <v>Improvement</v>
      </c>
      <c r="Q161" s="12" t="str">
        <f t="shared" si="11"/>
        <v>Good</v>
      </c>
    </row>
    <row r="162" spans="1:17">
      <c r="A162" s="11" t="s">
        <v>314</v>
      </c>
      <c r="B162" s="11" t="s">
        <v>315</v>
      </c>
      <c r="C162" s="11" t="s">
        <v>19</v>
      </c>
      <c r="D162" s="11">
        <v>18</v>
      </c>
      <c r="E162" s="11" t="s">
        <v>27</v>
      </c>
      <c r="F162" s="11" t="s">
        <v>105</v>
      </c>
      <c r="G162" s="11">
        <v>76</v>
      </c>
      <c r="H162" s="11">
        <v>5.4</v>
      </c>
      <c r="I162" s="11">
        <v>87</v>
      </c>
      <c r="J162" s="11">
        <v>92</v>
      </c>
      <c r="K162" s="11">
        <v>65</v>
      </c>
      <c r="L162" s="11">
        <v>74</v>
      </c>
      <c r="M162" s="11">
        <v>64</v>
      </c>
      <c r="N162" s="12">
        <f t="shared" si="8"/>
        <v>382</v>
      </c>
      <c r="O162" s="13">
        <f t="shared" si="9"/>
        <v>76.4</v>
      </c>
      <c r="P162" s="12" t="str">
        <f t="shared" si="10"/>
        <v>Improvement</v>
      </c>
      <c r="Q162" s="12" t="str">
        <f t="shared" si="11"/>
        <v>Good</v>
      </c>
    </row>
    <row r="163" spans="1:17">
      <c r="A163" s="11" t="s">
        <v>316</v>
      </c>
      <c r="B163" s="11" t="s">
        <v>317</v>
      </c>
      <c r="C163" s="11" t="s">
        <v>30</v>
      </c>
      <c r="D163" s="11">
        <v>21</v>
      </c>
      <c r="E163" s="11" t="s">
        <v>48</v>
      </c>
      <c r="F163" s="11" t="s">
        <v>39</v>
      </c>
      <c r="G163" s="11">
        <v>72</v>
      </c>
      <c r="H163" s="11">
        <v>3.6</v>
      </c>
      <c r="I163" s="11">
        <v>59</v>
      </c>
      <c r="J163" s="11">
        <v>45</v>
      </c>
      <c r="K163" s="11">
        <v>75</v>
      </c>
      <c r="L163" s="11">
        <v>49</v>
      </c>
      <c r="M163" s="11">
        <v>53</v>
      </c>
      <c r="N163" s="12">
        <f t="shared" si="8"/>
        <v>281</v>
      </c>
      <c r="O163" s="13">
        <f t="shared" si="9"/>
        <v>56.2</v>
      </c>
      <c r="P163" s="12" t="str">
        <f t="shared" si="10"/>
        <v>Improvement</v>
      </c>
      <c r="Q163" s="12" t="str">
        <f t="shared" si="11"/>
        <v>Bad</v>
      </c>
    </row>
    <row r="164" spans="1:17">
      <c r="A164" s="11" t="s">
        <v>318</v>
      </c>
      <c r="B164" s="11" t="s">
        <v>79</v>
      </c>
      <c r="C164" s="11" t="s">
        <v>30</v>
      </c>
      <c r="D164" s="11">
        <v>18</v>
      </c>
      <c r="E164" s="11" t="s">
        <v>20</v>
      </c>
      <c r="F164" s="11" t="s">
        <v>64</v>
      </c>
      <c r="G164" s="11">
        <v>84</v>
      </c>
      <c r="H164" s="11">
        <v>1.8</v>
      </c>
      <c r="I164" s="11">
        <v>49</v>
      </c>
      <c r="J164" s="11">
        <v>70</v>
      </c>
      <c r="K164" s="11">
        <v>65</v>
      </c>
      <c r="L164" s="11">
        <v>59</v>
      </c>
      <c r="M164" s="11">
        <v>39</v>
      </c>
      <c r="N164" s="12">
        <f t="shared" si="8"/>
        <v>282</v>
      </c>
      <c r="O164" s="13">
        <f t="shared" si="9"/>
        <v>56.4</v>
      </c>
      <c r="P164" s="12" t="str">
        <f t="shared" si="10"/>
        <v>Improvement</v>
      </c>
      <c r="Q164" s="12" t="str">
        <f t="shared" si="11"/>
        <v>Bad</v>
      </c>
    </row>
    <row r="165" spans="1:17">
      <c r="A165" s="11" t="s">
        <v>319</v>
      </c>
      <c r="B165" s="11" t="s">
        <v>77</v>
      </c>
      <c r="C165" s="11" t="s">
        <v>30</v>
      </c>
      <c r="D165" s="11">
        <v>20</v>
      </c>
      <c r="E165" s="11" t="s">
        <v>20</v>
      </c>
      <c r="F165" s="11" t="s">
        <v>44</v>
      </c>
      <c r="G165" s="11">
        <v>91</v>
      </c>
      <c r="H165" s="11">
        <v>1.4</v>
      </c>
      <c r="I165" s="11">
        <v>67</v>
      </c>
      <c r="J165" s="11">
        <v>45</v>
      </c>
      <c r="K165" s="11">
        <v>59</v>
      </c>
      <c r="L165" s="11">
        <v>61</v>
      </c>
      <c r="M165" s="11">
        <v>56</v>
      </c>
      <c r="N165" s="12">
        <f t="shared" si="8"/>
        <v>288</v>
      </c>
      <c r="O165" s="13">
        <f t="shared" si="9"/>
        <v>57.6</v>
      </c>
      <c r="P165" s="12" t="str">
        <f t="shared" si="10"/>
        <v>Improvement</v>
      </c>
      <c r="Q165" s="12" t="str">
        <f t="shared" si="11"/>
        <v>Bad</v>
      </c>
    </row>
    <row r="166" spans="1:17">
      <c r="A166" s="11" t="s">
        <v>320</v>
      </c>
      <c r="B166" s="11" t="s">
        <v>321</v>
      </c>
      <c r="C166" s="11" t="s">
        <v>30</v>
      </c>
      <c r="D166" s="11">
        <v>19</v>
      </c>
      <c r="E166" s="11" t="s">
        <v>38</v>
      </c>
      <c r="F166" s="11" t="s">
        <v>64</v>
      </c>
      <c r="G166" s="11">
        <v>80</v>
      </c>
      <c r="H166" s="11">
        <v>3</v>
      </c>
      <c r="I166" s="11">
        <v>57</v>
      </c>
      <c r="J166" s="11">
        <v>61</v>
      </c>
      <c r="K166" s="11">
        <v>55</v>
      </c>
      <c r="L166" s="11">
        <v>54</v>
      </c>
      <c r="M166" s="11">
        <v>58</v>
      </c>
      <c r="N166" s="12">
        <f t="shared" si="8"/>
        <v>285</v>
      </c>
      <c r="O166" s="13">
        <f t="shared" si="9"/>
        <v>57</v>
      </c>
      <c r="P166" s="12" t="str">
        <f t="shared" si="10"/>
        <v>Improvement</v>
      </c>
      <c r="Q166" s="12" t="str">
        <f t="shared" si="11"/>
        <v>Bad</v>
      </c>
    </row>
    <row r="167" spans="1:17">
      <c r="A167" s="11" t="s">
        <v>322</v>
      </c>
      <c r="B167" s="11" t="s">
        <v>323</v>
      </c>
      <c r="C167" s="11" t="s">
        <v>19</v>
      </c>
      <c r="D167" s="11">
        <v>22</v>
      </c>
      <c r="E167" s="11" t="s">
        <v>27</v>
      </c>
      <c r="F167" s="11" t="s">
        <v>64</v>
      </c>
      <c r="G167" s="11">
        <v>82</v>
      </c>
      <c r="H167" s="11">
        <v>5.2</v>
      </c>
      <c r="I167" s="11">
        <v>40</v>
      </c>
      <c r="J167" s="11">
        <v>58</v>
      </c>
      <c r="K167" s="11">
        <v>56</v>
      </c>
      <c r="L167" s="11">
        <v>58</v>
      </c>
      <c r="M167" s="11">
        <v>52</v>
      </c>
      <c r="N167" s="12">
        <f t="shared" si="8"/>
        <v>264</v>
      </c>
      <c r="O167" s="13">
        <f t="shared" si="9"/>
        <v>52.8</v>
      </c>
      <c r="P167" s="12" t="str">
        <f t="shared" si="10"/>
        <v>Improvement</v>
      </c>
      <c r="Q167" s="12" t="str">
        <f t="shared" si="11"/>
        <v>Bad</v>
      </c>
    </row>
    <row r="168" spans="1:17">
      <c r="A168" s="11" t="s">
        <v>324</v>
      </c>
      <c r="B168" s="11" t="s">
        <v>107</v>
      </c>
      <c r="C168" s="11" t="s">
        <v>30</v>
      </c>
      <c r="D168" s="11">
        <v>18</v>
      </c>
      <c r="E168" s="11" t="s">
        <v>27</v>
      </c>
      <c r="F168" s="11" t="s">
        <v>64</v>
      </c>
      <c r="G168" s="11">
        <v>79</v>
      </c>
      <c r="H168" s="11">
        <v>1</v>
      </c>
      <c r="I168" s="11">
        <v>68</v>
      </c>
      <c r="J168" s="11">
        <v>63</v>
      </c>
      <c r="K168" s="11">
        <v>51</v>
      </c>
      <c r="L168" s="11">
        <v>63</v>
      </c>
      <c r="M168" s="11">
        <v>65</v>
      </c>
      <c r="N168" s="12">
        <f t="shared" si="8"/>
        <v>310</v>
      </c>
      <c r="O168" s="13">
        <f t="shared" si="9"/>
        <v>62</v>
      </c>
      <c r="P168" s="12" t="str">
        <f t="shared" si="10"/>
        <v>Improvement</v>
      </c>
      <c r="Q168" s="12" t="str">
        <f t="shared" si="11"/>
        <v>Good</v>
      </c>
    </row>
    <row r="169" spans="1:17">
      <c r="A169" s="11" t="s">
        <v>325</v>
      </c>
      <c r="B169" s="11" t="s">
        <v>256</v>
      </c>
      <c r="C169" s="11" t="s">
        <v>19</v>
      </c>
      <c r="D169" s="11">
        <v>22</v>
      </c>
      <c r="E169" s="11" t="s">
        <v>27</v>
      </c>
      <c r="F169" s="11" t="s">
        <v>52</v>
      </c>
      <c r="G169" s="11">
        <v>88</v>
      </c>
      <c r="H169" s="11">
        <v>3.9</v>
      </c>
      <c r="I169" s="11">
        <v>61</v>
      </c>
      <c r="J169" s="11">
        <v>63</v>
      </c>
      <c r="K169" s="11">
        <v>59</v>
      </c>
      <c r="L169" s="11">
        <v>60</v>
      </c>
      <c r="M169" s="11">
        <v>56</v>
      </c>
      <c r="N169" s="12">
        <f t="shared" si="8"/>
        <v>299</v>
      </c>
      <c r="O169" s="13">
        <f t="shared" si="9"/>
        <v>59.8</v>
      </c>
      <c r="P169" s="12" t="str">
        <f t="shared" si="10"/>
        <v>Improvement</v>
      </c>
      <c r="Q169" s="12" t="str">
        <f t="shared" si="11"/>
        <v>Bad</v>
      </c>
    </row>
    <row r="170" spans="1:17">
      <c r="A170" s="11" t="s">
        <v>326</v>
      </c>
      <c r="B170" s="11" t="s">
        <v>321</v>
      </c>
      <c r="C170" s="11" t="s">
        <v>30</v>
      </c>
      <c r="D170" s="11">
        <v>20</v>
      </c>
      <c r="E170" s="11" t="s">
        <v>20</v>
      </c>
      <c r="F170" s="11" t="s">
        <v>105</v>
      </c>
      <c r="G170" s="11">
        <v>82</v>
      </c>
      <c r="H170" s="11">
        <v>5.1</v>
      </c>
      <c r="I170" s="11">
        <v>48</v>
      </c>
      <c r="J170" s="11">
        <v>43</v>
      </c>
      <c r="K170" s="11">
        <v>59</v>
      </c>
      <c r="L170" s="11">
        <v>50</v>
      </c>
      <c r="M170" s="11">
        <v>56</v>
      </c>
      <c r="N170" s="12">
        <f t="shared" si="8"/>
        <v>256</v>
      </c>
      <c r="O170" s="13">
        <f t="shared" si="9"/>
        <v>51.2</v>
      </c>
      <c r="P170" s="12" t="str">
        <f t="shared" si="10"/>
        <v>Improvement</v>
      </c>
      <c r="Q170" s="12" t="str">
        <f t="shared" si="11"/>
        <v>Bad</v>
      </c>
    </row>
    <row r="171" spans="1:17">
      <c r="A171" s="11" t="s">
        <v>327</v>
      </c>
      <c r="B171" s="11" t="s">
        <v>297</v>
      </c>
      <c r="C171" s="11" t="s">
        <v>30</v>
      </c>
      <c r="D171" s="11">
        <v>19</v>
      </c>
      <c r="E171" s="11" t="s">
        <v>34</v>
      </c>
      <c r="F171" s="11" t="s">
        <v>35</v>
      </c>
      <c r="G171" s="11">
        <v>79</v>
      </c>
      <c r="H171" s="11">
        <v>4.8</v>
      </c>
      <c r="I171" s="11">
        <v>65</v>
      </c>
      <c r="J171" s="11">
        <v>70</v>
      </c>
      <c r="K171" s="11">
        <v>79</v>
      </c>
      <c r="L171" s="11">
        <v>74</v>
      </c>
      <c r="M171" s="11">
        <v>60</v>
      </c>
      <c r="N171" s="12">
        <f t="shared" si="8"/>
        <v>348</v>
      </c>
      <c r="O171" s="13">
        <f t="shared" si="9"/>
        <v>69.6</v>
      </c>
      <c r="P171" s="12" t="str">
        <f t="shared" si="10"/>
        <v>Improvement</v>
      </c>
      <c r="Q171" s="12" t="str">
        <f t="shared" si="11"/>
        <v>Good</v>
      </c>
    </row>
    <row r="172" spans="1:17">
      <c r="A172" s="11" t="s">
        <v>328</v>
      </c>
      <c r="B172" s="11" t="s">
        <v>329</v>
      </c>
      <c r="C172" s="11" t="s">
        <v>19</v>
      </c>
      <c r="D172" s="11">
        <v>19</v>
      </c>
      <c r="E172" s="11" t="s">
        <v>20</v>
      </c>
      <c r="F172" s="11" t="s">
        <v>39</v>
      </c>
      <c r="G172" s="11">
        <v>91</v>
      </c>
      <c r="H172" s="11">
        <v>4.2</v>
      </c>
      <c r="I172" s="11">
        <v>67</v>
      </c>
      <c r="J172" s="11">
        <v>74</v>
      </c>
      <c r="K172" s="11">
        <v>66</v>
      </c>
      <c r="L172" s="11">
        <v>71</v>
      </c>
      <c r="M172" s="11">
        <v>76</v>
      </c>
      <c r="N172" s="12">
        <f t="shared" si="8"/>
        <v>354</v>
      </c>
      <c r="O172" s="13">
        <f t="shared" si="9"/>
        <v>70.8</v>
      </c>
      <c r="P172" s="12" t="str">
        <f t="shared" si="10"/>
        <v>Improvement</v>
      </c>
      <c r="Q172" s="12" t="str">
        <f t="shared" si="11"/>
        <v>Good</v>
      </c>
    </row>
    <row r="173" spans="1:17">
      <c r="A173" s="11" t="s">
        <v>330</v>
      </c>
      <c r="B173" s="11" t="s">
        <v>224</v>
      </c>
      <c r="C173" s="11" t="s">
        <v>30</v>
      </c>
      <c r="D173" s="11">
        <v>18</v>
      </c>
      <c r="E173" s="11" t="s">
        <v>48</v>
      </c>
      <c r="F173" s="11" t="s">
        <v>64</v>
      </c>
      <c r="G173" s="11">
        <v>72</v>
      </c>
      <c r="H173" s="11">
        <v>1.1</v>
      </c>
      <c r="I173" s="11">
        <v>71</v>
      </c>
      <c r="J173" s="11">
        <v>68</v>
      </c>
      <c r="K173" s="11">
        <v>43</v>
      </c>
      <c r="L173" s="11">
        <v>62</v>
      </c>
      <c r="M173" s="11">
        <v>68</v>
      </c>
      <c r="N173" s="12">
        <f t="shared" si="8"/>
        <v>312</v>
      </c>
      <c r="O173" s="13">
        <f t="shared" si="9"/>
        <v>62.4</v>
      </c>
      <c r="P173" s="12" t="str">
        <f t="shared" si="10"/>
        <v>Improvement</v>
      </c>
      <c r="Q173" s="12" t="str">
        <f t="shared" si="11"/>
        <v>Good</v>
      </c>
    </row>
    <row r="174" spans="1:17">
      <c r="A174" s="11" t="s">
        <v>331</v>
      </c>
      <c r="B174" s="11" t="s">
        <v>332</v>
      </c>
      <c r="C174" s="11" t="s">
        <v>19</v>
      </c>
      <c r="D174" s="11">
        <v>19</v>
      </c>
      <c r="E174" s="11" t="s">
        <v>38</v>
      </c>
      <c r="F174" s="11" t="s">
        <v>44</v>
      </c>
      <c r="G174" s="11">
        <v>84</v>
      </c>
      <c r="H174" s="11">
        <v>2.2</v>
      </c>
      <c r="I174" s="11">
        <v>47</v>
      </c>
      <c r="J174" s="11">
        <v>64</v>
      </c>
      <c r="K174" s="11">
        <v>68</v>
      </c>
      <c r="L174" s="11">
        <v>53</v>
      </c>
      <c r="M174" s="11">
        <v>51</v>
      </c>
      <c r="N174" s="12">
        <f t="shared" si="8"/>
        <v>283</v>
      </c>
      <c r="O174" s="13">
        <f t="shared" si="9"/>
        <v>56.6</v>
      </c>
      <c r="P174" s="12" t="str">
        <f t="shared" si="10"/>
        <v>Improvement</v>
      </c>
      <c r="Q174" s="12" t="str">
        <f t="shared" si="11"/>
        <v>Bad</v>
      </c>
    </row>
    <row r="175" spans="1:17">
      <c r="A175" s="11" t="s">
        <v>333</v>
      </c>
      <c r="B175" s="11" t="s">
        <v>323</v>
      </c>
      <c r="C175" s="11" t="s">
        <v>30</v>
      </c>
      <c r="D175" s="11">
        <v>22</v>
      </c>
      <c r="E175" s="11" t="s">
        <v>38</v>
      </c>
      <c r="F175" s="11" t="s">
        <v>31</v>
      </c>
      <c r="G175" s="11">
        <v>68</v>
      </c>
      <c r="H175" s="11">
        <v>4.5</v>
      </c>
      <c r="I175" s="11">
        <v>52</v>
      </c>
      <c r="J175" s="11">
        <v>56</v>
      </c>
      <c r="K175" s="11">
        <v>69</v>
      </c>
      <c r="L175" s="11">
        <v>66</v>
      </c>
      <c r="M175" s="11">
        <v>60</v>
      </c>
      <c r="N175" s="12">
        <f t="shared" si="8"/>
        <v>303</v>
      </c>
      <c r="O175" s="13">
        <f t="shared" si="9"/>
        <v>60.6</v>
      </c>
      <c r="P175" s="12" t="str">
        <f t="shared" si="10"/>
        <v>Improvement</v>
      </c>
      <c r="Q175" s="12" t="str">
        <f t="shared" si="11"/>
        <v>Good</v>
      </c>
    </row>
    <row r="176" spans="1:17">
      <c r="A176" s="11" t="s">
        <v>334</v>
      </c>
      <c r="B176" s="11" t="s">
        <v>203</v>
      </c>
      <c r="C176" s="11" t="s">
        <v>19</v>
      </c>
      <c r="D176" s="11">
        <v>20</v>
      </c>
      <c r="E176" s="11" t="s">
        <v>27</v>
      </c>
      <c r="F176" s="11" t="s">
        <v>39</v>
      </c>
      <c r="G176" s="11">
        <v>83</v>
      </c>
      <c r="H176" s="11">
        <v>3.1</v>
      </c>
      <c r="I176" s="11">
        <v>58</v>
      </c>
      <c r="J176" s="11">
        <v>69</v>
      </c>
      <c r="K176" s="11">
        <v>69</v>
      </c>
      <c r="L176" s="11">
        <v>41</v>
      </c>
      <c r="M176" s="11">
        <v>74</v>
      </c>
      <c r="N176" s="12">
        <f t="shared" si="8"/>
        <v>311</v>
      </c>
      <c r="O176" s="13">
        <f t="shared" si="9"/>
        <v>62.2</v>
      </c>
      <c r="P176" s="12" t="str">
        <f t="shared" si="10"/>
        <v>Improvement</v>
      </c>
      <c r="Q176" s="12" t="str">
        <f t="shared" si="11"/>
        <v>Good</v>
      </c>
    </row>
    <row r="177" spans="1:17">
      <c r="A177" s="11" t="s">
        <v>335</v>
      </c>
      <c r="B177" s="11" t="s">
        <v>336</v>
      </c>
      <c r="C177" s="11" t="s">
        <v>30</v>
      </c>
      <c r="D177" s="11">
        <v>21</v>
      </c>
      <c r="E177" s="11" t="s">
        <v>20</v>
      </c>
      <c r="F177" s="11" t="s">
        <v>64</v>
      </c>
      <c r="G177" s="11">
        <v>79</v>
      </c>
      <c r="H177" s="11">
        <v>1.6</v>
      </c>
      <c r="I177" s="11">
        <v>55</v>
      </c>
      <c r="J177" s="11">
        <v>32</v>
      </c>
      <c r="K177" s="11">
        <v>56</v>
      </c>
      <c r="L177" s="11">
        <v>47</v>
      </c>
      <c r="M177" s="11">
        <v>38</v>
      </c>
      <c r="N177" s="12">
        <f t="shared" si="8"/>
        <v>228</v>
      </c>
      <c r="O177" s="13">
        <f t="shared" si="9"/>
        <v>45.6</v>
      </c>
      <c r="P177" s="12" t="str">
        <f t="shared" si="10"/>
        <v>Improvement</v>
      </c>
      <c r="Q177" s="12" t="str">
        <f t="shared" si="11"/>
        <v>Bad</v>
      </c>
    </row>
    <row r="178" spans="1:17">
      <c r="A178" s="11" t="s">
        <v>337</v>
      </c>
      <c r="B178" s="11" t="s">
        <v>140</v>
      </c>
      <c r="C178" s="11" t="s">
        <v>30</v>
      </c>
      <c r="D178" s="11">
        <v>18</v>
      </c>
      <c r="E178" s="11" t="s">
        <v>48</v>
      </c>
      <c r="F178" s="11" t="s">
        <v>105</v>
      </c>
      <c r="G178" s="11">
        <v>88</v>
      </c>
      <c r="H178" s="11">
        <v>1.2</v>
      </c>
      <c r="I178" s="11">
        <v>45</v>
      </c>
      <c r="J178" s="11">
        <v>63</v>
      </c>
      <c r="K178" s="11">
        <v>42</v>
      </c>
      <c r="L178" s="11">
        <v>65</v>
      </c>
      <c r="M178" s="11">
        <v>52</v>
      </c>
      <c r="N178" s="12">
        <f t="shared" si="8"/>
        <v>267</v>
      </c>
      <c r="O178" s="13">
        <f t="shared" si="9"/>
        <v>53.4</v>
      </c>
      <c r="P178" s="12" t="str">
        <f t="shared" si="10"/>
        <v>Improvement</v>
      </c>
      <c r="Q178" s="12" t="str">
        <f t="shared" si="11"/>
        <v>Bad</v>
      </c>
    </row>
    <row r="179" spans="1:17">
      <c r="A179" s="11" t="s">
        <v>338</v>
      </c>
      <c r="B179" s="11" t="s">
        <v>339</v>
      </c>
      <c r="C179" s="11" t="s">
        <v>19</v>
      </c>
      <c r="D179" s="11">
        <v>20</v>
      </c>
      <c r="E179" s="11" t="s">
        <v>34</v>
      </c>
      <c r="F179" s="11" t="s">
        <v>64</v>
      </c>
      <c r="G179" s="11">
        <v>70</v>
      </c>
      <c r="H179" s="11">
        <v>3.9</v>
      </c>
      <c r="I179" s="11">
        <v>36</v>
      </c>
      <c r="J179" s="11">
        <v>50</v>
      </c>
      <c r="K179" s="11">
        <v>39</v>
      </c>
      <c r="L179" s="11">
        <v>47</v>
      </c>
      <c r="M179" s="11">
        <v>46</v>
      </c>
      <c r="N179" s="12">
        <f t="shared" si="8"/>
        <v>218</v>
      </c>
      <c r="O179" s="13">
        <f t="shared" si="9"/>
        <v>43.6</v>
      </c>
      <c r="P179" s="12" t="str">
        <f t="shared" si="10"/>
        <v>Improvement</v>
      </c>
      <c r="Q179" s="12" t="str">
        <f t="shared" si="11"/>
        <v>Bad</v>
      </c>
    </row>
    <row r="180" spans="1:17">
      <c r="A180" s="11" t="s">
        <v>340</v>
      </c>
      <c r="B180" s="11" t="s">
        <v>85</v>
      </c>
      <c r="C180" s="11" t="s">
        <v>19</v>
      </c>
      <c r="D180" s="11">
        <v>21</v>
      </c>
      <c r="E180" s="11" t="s">
        <v>20</v>
      </c>
      <c r="F180" s="11" t="s">
        <v>21</v>
      </c>
      <c r="G180" s="11">
        <v>84</v>
      </c>
      <c r="H180" s="11">
        <v>1.1</v>
      </c>
      <c r="I180" s="11">
        <v>51</v>
      </c>
      <c r="J180" s="11">
        <v>41</v>
      </c>
      <c r="K180" s="11">
        <v>57</v>
      </c>
      <c r="L180" s="11">
        <v>40</v>
      </c>
      <c r="M180" s="11">
        <v>47</v>
      </c>
      <c r="N180" s="12">
        <f t="shared" si="8"/>
        <v>236</v>
      </c>
      <c r="O180" s="13">
        <f t="shared" si="9"/>
        <v>47.2</v>
      </c>
      <c r="P180" s="12" t="str">
        <f t="shared" si="10"/>
        <v>Improvement</v>
      </c>
      <c r="Q180" s="12" t="str">
        <f t="shared" si="11"/>
        <v>Bad</v>
      </c>
    </row>
    <row r="181" spans="1:17">
      <c r="A181" s="11" t="s">
        <v>341</v>
      </c>
      <c r="B181" s="11" t="s">
        <v>342</v>
      </c>
      <c r="C181" s="11" t="s">
        <v>19</v>
      </c>
      <c r="D181" s="11">
        <v>21</v>
      </c>
      <c r="E181" s="11" t="s">
        <v>27</v>
      </c>
      <c r="F181" s="11" t="s">
        <v>44</v>
      </c>
      <c r="G181" s="11">
        <v>79</v>
      </c>
      <c r="H181" s="11">
        <v>3.4</v>
      </c>
      <c r="I181" s="11">
        <v>61</v>
      </c>
      <c r="J181" s="11">
        <v>59</v>
      </c>
      <c r="K181" s="11">
        <v>56</v>
      </c>
      <c r="L181" s="11">
        <v>53</v>
      </c>
      <c r="M181" s="11">
        <v>63</v>
      </c>
      <c r="N181" s="12">
        <f t="shared" si="8"/>
        <v>292</v>
      </c>
      <c r="O181" s="13">
        <f t="shared" si="9"/>
        <v>58.4</v>
      </c>
      <c r="P181" s="12" t="str">
        <f t="shared" si="10"/>
        <v>Improvement</v>
      </c>
      <c r="Q181" s="12" t="str">
        <f t="shared" si="11"/>
        <v>Bad</v>
      </c>
    </row>
    <row r="182" spans="1:17">
      <c r="A182" s="11" t="s">
        <v>343</v>
      </c>
      <c r="B182" s="11" t="s">
        <v>146</v>
      </c>
      <c r="C182" s="11" t="s">
        <v>30</v>
      </c>
      <c r="D182" s="11">
        <v>20</v>
      </c>
      <c r="E182" s="11" t="s">
        <v>34</v>
      </c>
      <c r="F182" s="11" t="s">
        <v>39</v>
      </c>
      <c r="G182" s="11">
        <v>97</v>
      </c>
      <c r="H182" s="11">
        <v>1.8</v>
      </c>
      <c r="I182" s="11">
        <v>50</v>
      </c>
      <c r="J182" s="11">
        <v>67</v>
      </c>
      <c r="K182" s="11">
        <v>78</v>
      </c>
      <c r="L182" s="11">
        <v>69</v>
      </c>
      <c r="M182" s="11">
        <v>66</v>
      </c>
      <c r="N182" s="12">
        <f t="shared" si="8"/>
        <v>330</v>
      </c>
      <c r="O182" s="13">
        <f t="shared" si="9"/>
        <v>66</v>
      </c>
      <c r="P182" s="12" t="str">
        <f t="shared" si="10"/>
        <v>Improvement</v>
      </c>
      <c r="Q182" s="12" t="str">
        <f t="shared" si="11"/>
        <v>Good</v>
      </c>
    </row>
    <row r="183" spans="1:17">
      <c r="A183" s="11" t="s">
        <v>344</v>
      </c>
      <c r="B183" s="11" t="s">
        <v>299</v>
      </c>
      <c r="C183" s="11" t="s">
        <v>30</v>
      </c>
      <c r="D183" s="11">
        <v>22</v>
      </c>
      <c r="E183" s="11" t="s">
        <v>20</v>
      </c>
      <c r="F183" s="11" t="s">
        <v>64</v>
      </c>
      <c r="G183" s="11">
        <v>74</v>
      </c>
      <c r="H183" s="11">
        <v>3.4</v>
      </c>
      <c r="I183" s="11">
        <v>56</v>
      </c>
      <c r="J183" s="11">
        <v>56</v>
      </c>
      <c r="K183" s="11">
        <v>51</v>
      </c>
      <c r="L183" s="11">
        <v>65</v>
      </c>
      <c r="M183" s="11">
        <v>67</v>
      </c>
      <c r="N183" s="12">
        <f t="shared" si="8"/>
        <v>295</v>
      </c>
      <c r="O183" s="13">
        <f t="shared" si="9"/>
        <v>59</v>
      </c>
      <c r="P183" s="12" t="str">
        <f t="shared" si="10"/>
        <v>Improvement</v>
      </c>
      <c r="Q183" s="12" t="str">
        <f t="shared" si="11"/>
        <v>Bad</v>
      </c>
    </row>
    <row r="184" spans="1:17">
      <c r="A184" s="11" t="s">
        <v>345</v>
      </c>
      <c r="B184" s="11" t="s">
        <v>346</v>
      </c>
      <c r="C184" s="11" t="s">
        <v>19</v>
      </c>
      <c r="D184" s="11">
        <v>19</v>
      </c>
      <c r="E184" s="11" t="s">
        <v>24</v>
      </c>
      <c r="F184" s="11" t="s">
        <v>21</v>
      </c>
      <c r="G184" s="11">
        <v>85</v>
      </c>
      <c r="H184" s="11">
        <v>4.3</v>
      </c>
      <c r="I184" s="11">
        <v>62</v>
      </c>
      <c r="J184" s="11">
        <v>84</v>
      </c>
      <c r="K184" s="11">
        <v>63</v>
      </c>
      <c r="L184" s="11">
        <v>61</v>
      </c>
      <c r="M184" s="11">
        <v>70</v>
      </c>
      <c r="N184" s="12">
        <f t="shared" si="8"/>
        <v>340</v>
      </c>
      <c r="O184" s="13">
        <f t="shared" si="9"/>
        <v>68</v>
      </c>
      <c r="P184" s="12" t="str">
        <f t="shared" si="10"/>
        <v>Improvement</v>
      </c>
      <c r="Q184" s="12" t="str">
        <f t="shared" si="11"/>
        <v>Good</v>
      </c>
    </row>
    <row r="185" spans="1:17">
      <c r="A185" s="11" t="s">
        <v>347</v>
      </c>
      <c r="B185" s="11" t="s">
        <v>348</v>
      </c>
      <c r="C185" s="11" t="s">
        <v>30</v>
      </c>
      <c r="D185" s="11">
        <v>18</v>
      </c>
      <c r="E185" s="11" t="s">
        <v>20</v>
      </c>
      <c r="F185" s="11" t="s">
        <v>52</v>
      </c>
      <c r="G185" s="11">
        <v>81</v>
      </c>
      <c r="H185" s="11">
        <v>2.1</v>
      </c>
      <c r="I185" s="11">
        <v>71</v>
      </c>
      <c r="J185" s="11">
        <v>55</v>
      </c>
      <c r="K185" s="11">
        <v>80</v>
      </c>
      <c r="L185" s="11">
        <v>71</v>
      </c>
      <c r="M185" s="11">
        <v>65</v>
      </c>
      <c r="N185" s="12">
        <f t="shared" si="8"/>
        <v>342</v>
      </c>
      <c r="O185" s="13">
        <f t="shared" si="9"/>
        <v>68.4</v>
      </c>
      <c r="P185" s="12" t="str">
        <f t="shared" si="10"/>
        <v>Improvement</v>
      </c>
      <c r="Q185" s="12" t="str">
        <f t="shared" si="11"/>
        <v>Good</v>
      </c>
    </row>
    <row r="186" spans="1:17">
      <c r="A186" s="11" t="s">
        <v>349</v>
      </c>
      <c r="B186" s="11" t="s">
        <v>216</v>
      </c>
      <c r="C186" s="11" t="s">
        <v>30</v>
      </c>
      <c r="D186" s="11">
        <v>21</v>
      </c>
      <c r="E186" s="11" t="s">
        <v>34</v>
      </c>
      <c r="F186" s="11" t="s">
        <v>64</v>
      </c>
      <c r="G186" s="11">
        <v>76</v>
      </c>
      <c r="H186" s="11">
        <v>4.7</v>
      </c>
      <c r="I186" s="11">
        <v>70</v>
      </c>
      <c r="J186" s="11">
        <v>64</v>
      </c>
      <c r="K186" s="11">
        <v>71</v>
      </c>
      <c r="L186" s="11">
        <v>69</v>
      </c>
      <c r="M186" s="11">
        <v>59</v>
      </c>
      <c r="N186" s="12">
        <f t="shared" si="8"/>
        <v>333</v>
      </c>
      <c r="O186" s="13">
        <f t="shared" si="9"/>
        <v>66.6</v>
      </c>
      <c r="P186" s="12" t="str">
        <f t="shared" si="10"/>
        <v>Improvement</v>
      </c>
      <c r="Q186" s="12" t="str">
        <f t="shared" si="11"/>
        <v>Good</v>
      </c>
    </row>
    <row r="187" spans="1:17">
      <c r="A187" s="11" t="s">
        <v>350</v>
      </c>
      <c r="B187" s="11" t="s">
        <v>308</v>
      </c>
      <c r="C187" s="11" t="s">
        <v>19</v>
      </c>
      <c r="D187" s="11">
        <v>20</v>
      </c>
      <c r="E187" s="11" t="s">
        <v>34</v>
      </c>
      <c r="F187" s="11" t="s">
        <v>21</v>
      </c>
      <c r="G187" s="11">
        <v>83</v>
      </c>
      <c r="H187" s="11">
        <v>3.1</v>
      </c>
      <c r="I187" s="11">
        <v>67</v>
      </c>
      <c r="J187" s="11">
        <v>76</v>
      </c>
      <c r="K187" s="11">
        <v>68</v>
      </c>
      <c r="L187" s="11">
        <v>72</v>
      </c>
      <c r="M187" s="11">
        <v>77</v>
      </c>
      <c r="N187" s="12">
        <f t="shared" si="8"/>
        <v>360</v>
      </c>
      <c r="O187" s="13">
        <f t="shared" si="9"/>
        <v>72</v>
      </c>
      <c r="P187" s="12" t="str">
        <f t="shared" si="10"/>
        <v>Improvement</v>
      </c>
      <c r="Q187" s="12" t="str">
        <f t="shared" si="11"/>
        <v>Good</v>
      </c>
    </row>
    <row r="188" spans="1:17">
      <c r="A188" s="11" t="s">
        <v>351</v>
      </c>
      <c r="B188" s="11" t="s">
        <v>51</v>
      </c>
      <c r="C188" s="11" t="s">
        <v>30</v>
      </c>
      <c r="D188" s="11">
        <v>20</v>
      </c>
      <c r="E188" s="11" t="s">
        <v>34</v>
      </c>
      <c r="F188" s="11" t="s">
        <v>35</v>
      </c>
      <c r="G188" s="11">
        <v>84</v>
      </c>
      <c r="H188" s="11">
        <v>5.2</v>
      </c>
      <c r="I188" s="11">
        <v>90</v>
      </c>
      <c r="J188" s="11">
        <v>69</v>
      </c>
      <c r="K188" s="11">
        <v>64</v>
      </c>
      <c r="L188" s="11">
        <v>67</v>
      </c>
      <c r="M188" s="11">
        <v>80</v>
      </c>
      <c r="N188" s="12">
        <f t="shared" si="8"/>
        <v>370</v>
      </c>
      <c r="O188" s="13">
        <f t="shared" si="9"/>
        <v>74</v>
      </c>
      <c r="P188" s="12" t="str">
        <f t="shared" si="10"/>
        <v>Improvement</v>
      </c>
      <c r="Q188" s="12" t="str">
        <f t="shared" si="11"/>
        <v>Good</v>
      </c>
    </row>
    <row r="189" spans="1:17">
      <c r="A189" s="11" t="s">
        <v>352</v>
      </c>
      <c r="B189" s="11" t="s">
        <v>353</v>
      </c>
      <c r="C189" s="11" t="s">
        <v>19</v>
      </c>
      <c r="D189" s="11">
        <v>20</v>
      </c>
      <c r="E189" s="11" t="s">
        <v>27</v>
      </c>
      <c r="F189" s="11" t="s">
        <v>105</v>
      </c>
      <c r="G189" s="11">
        <v>88</v>
      </c>
      <c r="H189" s="11">
        <v>2</v>
      </c>
      <c r="I189" s="11">
        <v>89</v>
      </c>
      <c r="J189" s="11">
        <v>69</v>
      </c>
      <c r="K189" s="11">
        <v>71</v>
      </c>
      <c r="L189" s="11">
        <v>63</v>
      </c>
      <c r="M189" s="11">
        <v>52</v>
      </c>
      <c r="N189" s="12">
        <f t="shared" si="8"/>
        <v>344</v>
      </c>
      <c r="O189" s="13">
        <f t="shared" si="9"/>
        <v>68.8</v>
      </c>
      <c r="P189" s="12" t="str">
        <f t="shared" si="10"/>
        <v>Improvement</v>
      </c>
      <c r="Q189" s="12" t="str">
        <f t="shared" si="11"/>
        <v>Good</v>
      </c>
    </row>
    <row r="190" spans="1:17">
      <c r="A190" s="11" t="s">
        <v>354</v>
      </c>
      <c r="B190" s="11" t="s">
        <v>332</v>
      </c>
      <c r="C190" s="11" t="s">
        <v>19</v>
      </c>
      <c r="D190" s="11">
        <v>21</v>
      </c>
      <c r="E190" s="11" t="s">
        <v>48</v>
      </c>
      <c r="F190" s="11" t="s">
        <v>52</v>
      </c>
      <c r="G190" s="11">
        <v>97</v>
      </c>
      <c r="H190" s="11">
        <v>4.2</v>
      </c>
      <c r="I190" s="11">
        <v>69</v>
      </c>
      <c r="J190" s="11">
        <v>70</v>
      </c>
      <c r="K190" s="11">
        <v>80</v>
      </c>
      <c r="L190" s="11">
        <v>72</v>
      </c>
      <c r="M190" s="11">
        <v>76</v>
      </c>
      <c r="N190" s="12">
        <f t="shared" si="8"/>
        <v>367</v>
      </c>
      <c r="O190" s="13">
        <f t="shared" si="9"/>
        <v>73.4</v>
      </c>
      <c r="P190" s="12" t="str">
        <f t="shared" si="10"/>
        <v>Improvement</v>
      </c>
      <c r="Q190" s="12" t="str">
        <f t="shared" si="11"/>
        <v>Good</v>
      </c>
    </row>
    <row r="191" spans="1:17">
      <c r="A191" s="11" t="s">
        <v>355</v>
      </c>
      <c r="B191" s="11" t="s">
        <v>214</v>
      </c>
      <c r="C191" s="11" t="s">
        <v>30</v>
      </c>
      <c r="D191" s="11">
        <v>22</v>
      </c>
      <c r="E191" s="11" t="s">
        <v>38</v>
      </c>
      <c r="F191" s="11" t="s">
        <v>39</v>
      </c>
      <c r="G191" s="11">
        <v>64</v>
      </c>
      <c r="H191" s="11">
        <v>3.4</v>
      </c>
      <c r="I191" s="11">
        <v>49</v>
      </c>
      <c r="J191" s="11">
        <v>59</v>
      </c>
      <c r="K191" s="11">
        <v>60</v>
      </c>
      <c r="L191" s="11">
        <v>42</v>
      </c>
      <c r="M191" s="11">
        <v>52</v>
      </c>
      <c r="N191" s="12">
        <f t="shared" si="8"/>
        <v>262</v>
      </c>
      <c r="O191" s="13">
        <f t="shared" si="9"/>
        <v>52.4</v>
      </c>
      <c r="P191" s="12" t="str">
        <f t="shared" si="10"/>
        <v>Improvement</v>
      </c>
      <c r="Q191" s="12" t="str">
        <f t="shared" si="11"/>
        <v>Bad</v>
      </c>
    </row>
    <row r="192" spans="1:17">
      <c r="A192" s="11" t="s">
        <v>356</v>
      </c>
      <c r="B192" s="11" t="s">
        <v>357</v>
      </c>
      <c r="C192" s="11" t="s">
        <v>19</v>
      </c>
      <c r="D192" s="11">
        <v>19</v>
      </c>
      <c r="E192" s="11" t="s">
        <v>38</v>
      </c>
      <c r="F192" s="11" t="s">
        <v>31</v>
      </c>
      <c r="G192" s="11">
        <v>83</v>
      </c>
      <c r="H192" s="11">
        <v>5.3</v>
      </c>
      <c r="I192" s="11">
        <v>75</v>
      </c>
      <c r="J192" s="11">
        <v>72</v>
      </c>
      <c r="K192" s="11">
        <v>71</v>
      </c>
      <c r="L192" s="11">
        <v>80</v>
      </c>
      <c r="M192" s="11">
        <v>77</v>
      </c>
      <c r="N192" s="12">
        <f t="shared" si="8"/>
        <v>375</v>
      </c>
      <c r="O192" s="13">
        <f t="shared" si="9"/>
        <v>75</v>
      </c>
      <c r="P192" s="12" t="str">
        <f t="shared" si="10"/>
        <v>Improvement</v>
      </c>
      <c r="Q192" s="12" t="str">
        <f t="shared" si="11"/>
        <v>Good</v>
      </c>
    </row>
    <row r="193" spans="1:17">
      <c r="A193" s="11" t="s">
        <v>358</v>
      </c>
      <c r="B193" s="11" t="s">
        <v>167</v>
      </c>
      <c r="C193" s="11" t="s">
        <v>30</v>
      </c>
      <c r="D193" s="11">
        <v>18</v>
      </c>
      <c r="E193" s="11" t="s">
        <v>27</v>
      </c>
      <c r="F193" s="11" t="s">
        <v>44</v>
      </c>
      <c r="G193" s="11">
        <v>82</v>
      </c>
      <c r="H193" s="11">
        <v>5</v>
      </c>
      <c r="I193" s="11">
        <v>69</v>
      </c>
      <c r="J193" s="11">
        <v>61</v>
      </c>
      <c r="K193" s="11">
        <v>87</v>
      </c>
      <c r="L193" s="11">
        <v>77</v>
      </c>
      <c r="M193" s="11">
        <v>61</v>
      </c>
      <c r="N193" s="12">
        <f t="shared" si="8"/>
        <v>355</v>
      </c>
      <c r="O193" s="13">
        <f t="shared" si="9"/>
        <v>71</v>
      </c>
      <c r="P193" s="12" t="str">
        <f t="shared" si="10"/>
        <v>Improvement</v>
      </c>
      <c r="Q193" s="12" t="str">
        <f t="shared" si="11"/>
        <v>Good</v>
      </c>
    </row>
    <row r="194" spans="1:17">
      <c r="A194" s="11" t="s">
        <v>359</v>
      </c>
      <c r="B194" s="11" t="s">
        <v>224</v>
      </c>
      <c r="C194" s="11" t="s">
        <v>19</v>
      </c>
      <c r="D194" s="11">
        <v>21</v>
      </c>
      <c r="E194" s="11" t="s">
        <v>38</v>
      </c>
      <c r="F194" s="11" t="s">
        <v>21</v>
      </c>
      <c r="G194" s="11">
        <v>77</v>
      </c>
      <c r="H194" s="11">
        <v>5.9</v>
      </c>
      <c r="I194" s="11">
        <v>58</v>
      </c>
      <c r="J194" s="11">
        <v>66</v>
      </c>
      <c r="K194" s="11">
        <v>67</v>
      </c>
      <c r="L194" s="11">
        <v>68</v>
      </c>
      <c r="M194" s="11">
        <v>71</v>
      </c>
      <c r="N194" s="12">
        <f t="shared" ref="N194:N257" si="12">SUM(I194:M194)</f>
        <v>330</v>
      </c>
      <c r="O194" s="13">
        <f t="shared" ref="O194:O257" si="13">AVERAGE(N194/5)</f>
        <v>66</v>
      </c>
      <c r="P194" s="12" t="str">
        <f t="shared" ref="P194:P257" si="14">IF(N194&gt;=400,"TopPerformer","Improvement")</f>
        <v>Improvement</v>
      </c>
      <c r="Q194" s="12" t="str">
        <f t="shared" ref="Q194:Q257" si="15">IF(N194&gt;=400,"Excellent",IF(N194&gt;=300,"Good",IF(N194&gt;=200,"Bad","Very Bad")))</f>
        <v>Good</v>
      </c>
    </row>
    <row r="195" spans="1:17">
      <c r="A195" s="11" t="s">
        <v>360</v>
      </c>
      <c r="B195" s="11" t="s">
        <v>63</v>
      </c>
      <c r="C195" s="11" t="s">
        <v>19</v>
      </c>
      <c r="D195" s="11">
        <v>22</v>
      </c>
      <c r="E195" s="11" t="s">
        <v>20</v>
      </c>
      <c r="F195" s="11" t="s">
        <v>44</v>
      </c>
      <c r="G195" s="11">
        <v>82</v>
      </c>
      <c r="H195" s="11">
        <v>4</v>
      </c>
      <c r="I195" s="11">
        <v>73</v>
      </c>
      <c r="J195" s="11">
        <v>71</v>
      </c>
      <c r="K195" s="11">
        <v>67</v>
      </c>
      <c r="L195" s="11">
        <v>60</v>
      </c>
      <c r="M195" s="11">
        <v>67</v>
      </c>
      <c r="N195" s="12">
        <f t="shared" si="12"/>
        <v>338</v>
      </c>
      <c r="O195" s="13">
        <f t="shared" si="13"/>
        <v>67.6</v>
      </c>
      <c r="P195" s="12" t="str">
        <f t="shared" si="14"/>
        <v>Improvement</v>
      </c>
      <c r="Q195" s="12" t="str">
        <f t="shared" si="15"/>
        <v>Good</v>
      </c>
    </row>
    <row r="196" spans="1:17">
      <c r="A196" s="11" t="s">
        <v>361</v>
      </c>
      <c r="B196" s="11" t="s">
        <v>274</v>
      </c>
      <c r="C196" s="11" t="s">
        <v>19</v>
      </c>
      <c r="D196" s="11">
        <v>21</v>
      </c>
      <c r="E196" s="11" t="s">
        <v>38</v>
      </c>
      <c r="F196" s="11" t="s">
        <v>105</v>
      </c>
      <c r="G196" s="11">
        <v>77</v>
      </c>
      <c r="H196" s="11">
        <v>4.4</v>
      </c>
      <c r="I196" s="11">
        <v>74</v>
      </c>
      <c r="J196" s="11">
        <v>92</v>
      </c>
      <c r="K196" s="11">
        <v>70</v>
      </c>
      <c r="L196" s="11">
        <v>76</v>
      </c>
      <c r="M196" s="11">
        <v>67</v>
      </c>
      <c r="N196" s="12">
        <f t="shared" si="12"/>
        <v>379</v>
      </c>
      <c r="O196" s="13">
        <f t="shared" si="13"/>
        <v>75.8</v>
      </c>
      <c r="P196" s="12" t="str">
        <f t="shared" si="14"/>
        <v>Improvement</v>
      </c>
      <c r="Q196" s="12" t="str">
        <f t="shared" si="15"/>
        <v>Good</v>
      </c>
    </row>
    <row r="197" spans="1:17">
      <c r="A197" s="11" t="s">
        <v>362</v>
      </c>
      <c r="B197" s="11" t="s">
        <v>212</v>
      </c>
      <c r="C197" s="11" t="s">
        <v>19</v>
      </c>
      <c r="D197" s="11">
        <v>20</v>
      </c>
      <c r="E197" s="11" t="s">
        <v>24</v>
      </c>
      <c r="F197" s="11" t="s">
        <v>31</v>
      </c>
      <c r="G197" s="11">
        <v>84</v>
      </c>
      <c r="H197" s="11">
        <v>5.7</v>
      </c>
      <c r="I197" s="11">
        <v>69</v>
      </c>
      <c r="J197" s="11">
        <v>93</v>
      </c>
      <c r="K197" s="11">
        <v>75</v>
      </c>
      <c r="L197" s="11">
        <v>66</v>
      </c>
      <c r="M197" s="11">
        <v>66</v>
      </c>
      <c r="N197" s="12">
        <f t="shared" si="12"/>
        <v>369</v>
      </c>
      <c r="O197" s="13">
        <f t="shared" si="13"/>
        <v>73.8</v>
      </c>
      <c r="P197" s="12" t="str">
        <f t="shared" si="14"/>
        <v>Improvement</v>
      </c>
      <c r="Q197" s="12" t="str">
        <f t="shared" si="15"/>
        <v>Good</v>
      </c>
    </row>
    <row r="198" spans="1:17">
      <c r="A198" s="11" t="s">
        <v>363</v>
      </c>
      <c r="B198" s="11" t="s">
        <v>61</v>
      </c>
      <c r="C198" s="11" t="s">
        <v>19</v>
      </c>
      <c r="D198" s="11">
        <v>18</v>
      </c>
      <c r="E198" s="11" t="s">
        <v>48</v>
      </c>
      <c r="F198" s="11" t="s">
        <v>39</v>
      </c>
      <c r="G198" s="11">
        <v>83</v>
      </c>
      <c r="H198" s="11">
        <v>3.7</v>
      </c>
      <c r="I198" s="11">
        <v>62</v>
      </c>
      <c r="J198" s="11">
        <v>61</v>
      </c>
      <c r="K198" s="11">
        <v>71</v>
      </c>
      <c r="L198" s="11">
        <v>74</v>
      </c>
      <c r="M198" s="11">
        <v>72</v>
      </c>
      <c r="N198" s="12">
        <f t="shared" si="12"/>
        <v>340</v>
      </c>
      <c r="O198" s="13">
        <f t="shared" si="13"/>
        <v>68</v>
      </c>
      <c r="P198" s="12" t="str">
        <f t="shared" si="14"/>
        <v>Improvement</v>
      </c>
      <c r="Q198" s="12" t="str">
        <f t="shared" si="15"/>
        <v>Good</v>
      </c>
    </row>
    <row r="199" spans="1:17">
      <c r="A199" s="11" t="s">
        <v>364</v>
      </c>
      <c r="B199" s="11" t="s">
        <v>148</v>
      </c>
      <c r="C199" s="11" t="s">
        <v>19</v>
      </c>
      <c r="D199" s="11">
        <v>20</v>
      </c>
      <c r="E199" s="11" t="s">
        <v>48</v>
      </c>
      <c r="F199" s="11" t="s">
        <v>44</v>
      </c>
      <c r="G199" s="11">
        <v>77</v>
      </c>
      <c r="H199" s="11">
        <v>2.4</v>
      </c>
      <c r="I199" s="11">
        <v>72</v>
      </c>
      <c r="J199" s="11">
        <v>71</v>
      </c>
      <c r="K199" s="11">
        <v>77</v>
      </c>
      <c r="L199" s="11">
        <v>89</v>
      </c>
      <c r="M199" s="11">
        <v>53</v>
      </c>
      <c r="N199" s="12">
        <f t="shared" si="12"/>
        <v>362</v>
      </c>
      <c r="O199" s="13">
        <f t="shared" si="13"/>
        <v>72.4</v>
      </c>
      <c r="P199" s="12" t="str">
        <f t="shared" si="14"/>
        <v>Improvement</v>
      </c>
      <c r="Q199" s="12" t="str">
        <f t="shared" si="15"/>
        <v>Good</v>
      </c>
    </row>
    <row r="200" spans="1:17">
      <c r="A200" s="11" t="s">
        <v>365</v>
      </c>
      <c r="B200" s="11" t="s">
        <v>366</v>
      </c>
      <c r="C200" s="11" t="s">
        <v>30</v>
      </c>
      <c r="D200" s="11">
        <v>19</v>
      </c>
      <c r="E200" s="11" t="s">
        <v>34</v>
      </c>
      <c r="F200" s="11" t="s">
        <v>105</v>
      </c>
      <c r="G200" s="11">
        <v>72</v>
      </c>
      <c r="H200" s="11">
        <v>3.4</v>
      </c>
      <c r="I200" s="11">
        <v>55</v>
      </c>
      <c r="J200" s="11">
        <v>52</v>
      </c>
      <c r="K200" s="11">
        <v>56</v>
      </c>
      <c r="L200" s="11">
        <v>56</v>
      </c>
      <c r="M200" s="11">
        <v>57</v>
      </c>
      <c r="N200" s="12">
        <f t="shared" si="12"/>
        <v>276</v>
      </c>
      <c r="O200" s="13">
        <f t="shared" si="13"/>
        <v>55.2</v>
      </c>
      <c r="P200" s="12" t="str">
        <f t="shared" si="14"/>
        <v>Improvement</v>
      </c>
      <c r="Q200" s="12" t="str">
        <f t="shared" si="15"/>
        <v>Bad</v>
      </c>
    </row>
    <row r="201" spans="1:17">
      <c r="A201" s="11" t="s">
        <v>367</v>
      </c>
      <c r="B201" s="11" t="s">
        <v>224</v>
      </c>
      <c r="C201" s="11" t="s">
        <v>19</v>
      </c>
      <c r="D201" s="11">
        <v>20</v>
      </c>
      <c r="E201" s="11" t="s">
        <v>20</v>
      </c>
      <c r="F201" s="11" t="s">
        <v>35</v>
      </c>
      <c r="G201" s="11">
        <v>65</v>
      </c>
      <c r="H201" s="11">
        <v>2.3</v>
      </c>
      <c r="I201" s="11">
        <v>42</v>
      </c>
      <c r="J201" s="11">
        <v>41</v>
      </c>
      <c r="K201" s="11">
        <v>39</v>
      </c>
      <c r="L201" s="11">
        <v>58</v>
      </c>
      <c r="M201" s="11">
        <v>47</v>
      </c>
      <c r="N201" s="12">
        <f t="shared" si="12"/>
        <v>227</v>
      </c>
      <c r="O201" s="13">
        <f t="shared" si="13"/>
        <v>45.4</v>
      </c>
      <c r="P201" s="12" t="str">
        <f t="shared" si="14"/>
        <v>Improvement</v>
      </c>
      <c r="Q201" s="12" t="str">
        <f t="shared" si="15"/>
        <v>Bad</v>
      </c>
    </row>
    <row r="202" spans="1:17">
      <c r="A202" s="11" t="s">
        <v>368</v>
      </c>
      <c r="B202" s="11" t="s">
        <v>369</v>
      </c>
      <c r="C202" s="11" t="s">
        <v>19</v>
      </c>
      <c r="D202" s="11">
        <v>20</v>
      </c>
      <c r="E202" s="11" t="s">
        <v>38</v>
      </c>
      <c r="F202" s="11" t="s">
        <v>105</v>
      </c>
      <c r="G202" s="11">
        <v>82</v>
      </c>
      <c r="H202" s="11">
        <v>4.1</v>
      </c>
      <c r="I202" s="11">
        <v>51</v>
      </c>
      <c r="J202" s="11">
        <v>53</v>
      </c>
      <c r="K202" s="11">
        <v>51</v>
      </c>
      <c r="L202" s="11">
        <v>46</v>
      </c>
      <c r="M202" s="11">
        <v>48</v>
      </c>
      <c r="N202" s="12">
        <f t="shared" si="12"/>
        <v>249</v>
      </c>
      <c r="O202" s="13">
        <f t="shared" si="13"/>
        <v>49.8</v>
      </c>
      <c r="P202" s="12" t="str">
        <f t="shared" si="14"/>
        <v>Improvement</v>
      </c>
      <c r="Q202" s="12" t="str">
        <f t="shared" si="15"/>
        <v>Bad</v>
      </c>
    </row>
    <row r="203" spans="1:17">
      <c r="A203" s="11" t="s">
        <v>370</v>
      </c>
      <c r="B203" s="11" t="s">
        <v>312</v>
      </c>
      <c r="C203" s="11" t="s">
        <v>30</v>
      </c>
      <c r="D203" s="11">
        <v>19</v>
      </c>
      <c r="E203" s="11" t="s">
        <v>20</v>
      </c>
      <c r="F203" s="11" t="s">
        <v>64</v>
      </c>
      <c r="G203" s="11">
        <v>91</v>
      </c>
      <c r="H203" s="11">
        <v>3.4</v>
      </c>
      <c r="I203" s="11">
        <v>65</v>
      </c>
      <c r="J203" s="11">
        <v>66</v>
      </c>
      <c r="K203" s="11">
        <v>58</v>
      </c>
      <c r="L203" s="11">
        <v>68</v>
      </c>
      <c r="M203" s="11">
        <v>69</v>
      </c>
      <c r="N203" s="12">
        <f t="shared" si="12"/>
        <v>326</v>
      </c>
      <c r="O203" s="13">
        <f t="shared" si="13"/>
        <v>65.2</v>
      </c>
      <c r="P203" s="12" t="str">
        <f t="shared" si="14"/>
        <v>Improvement</v>
      </c>
      <c r="Q203" s="12" t="str">
        <f t="shared" si="15"/>
        <v>Good</v>
      </c>
    </row>
    <row r="204" spans="1:17">
      <c r="A204" s="11" t="s">
        <v>371</v>
      </c>
      <c r="B204" s="11" t="s">
        <v>185</v>
      </c>
      <c r="C204" s="11" t="s">
        <v>30</v>
      </c>
      <c r="D204" s="11">
        <v>20</v>
      </c>
      <c r="E204" s="11" t="s">
        <v>38</v>
      </c>
      <c r="F204" s="11" t="s">
        <v>64</v>
      </c>
      <c r="G204" s="11">
        <v>82</v>
      </c>
      <c r="H204" s="11">
        <v>3.8</v>
      </c>
      <c r="I204" s="11">
        <v>58</v>
      </c>
      <c r="J204" s="11">
        <v>52</v>
      </c>
      <c r="K204" s="11">
        <v>64</v>
      </c>
      <c r="L204" s="11">
        <v>57</v>
      </c>
      <c r="M204" s="11">
        <v>64</v>
      </c>
      <c r="N204" s="12">
        <f t="shared" si="12"/>
        <v>295</v>
      </c>
      <c r="O204" s="13">
        <f t="shared" si="13"/>
        <v>59</v>
      </c>
      <c r="P204" s="12" t="str">
        <f t="shared" si="14"/>
        <v>Improvement</v>
      </c>
      <c r="Q204" s="12" t="str">
        <f t="shared" si="15"/>
        <v>Bad</v>
      </c>
    </row>
    <row r="205" spans="1:17">
      <c r="A205" s="11" t="s">
        <v>372</v>
      </c>
      <c r="B205" s="11" t="s">
        <v>373</v>
      </c>
      <c r="C205" s="11" t="s">
        <v>30</v>
      </c>
      <c r="D205" s="11">
        <v>18</v>
      </c>
      <c r="E205" s="11" t="s">
        <v>27</v>
      </c>
      <c r="F205" s="11" t="s">
        <v>39</v>
      </c>
      <c r="G205" s="11">
        <v>83</v>
      </c>
      <c r="H205" s="11">
        <v>4.7</v>
      </c>
      <c r="I205" s="11">
        <v>86</v>
      </c>
      <c r="J205" s="11">
        <v>87</v>
      </c>
      <c r="K205" s="11">
        <v>75</v>
      </c>
      <c r="L205" s="11">
        <v>73</v>
      </c>
      <c r="M205" s="11">
        <v>96</v>
      </c>
      <c r="N205" s="12">
        <f t="shared" si="12"/>
        <v>417</v>
      </c>
      <c r="O205" s="13">
        <f t="shared" si="13"/>
        <v>83.4</v>
      </c>
      <c r="P205" s="12" t="str">
        <f t="shared" si="14"/>
        <v>TopPerformer</v>
      </c>
      <c r="Q205" s="12" t="str">
        <f t="shared" si="15"/>
        <v>Excellent</v>
      </c>
    </row>
    <row r="206" spans="1:17">
      <c r="A206" s="11" t="s">
        <v>374</v>
      </c>
      <c r="B206" s="11" t="s">
        <v>128</v>
      </c>
      <c r="C206" s="11" t="s">
        <v>19</v>
      </c>
      <c r="D206" s="11">
        <v>20</v>
      </c>
      <c r="E206" s="11" t="s">
        <v>38</v>
      </c>
      <c r="F206" s="11" t="s">
        <v>52</v>
      </c>
      <c r="G206" s="11">
        <v>81</v>
      </c>
      <c r="H206" s="11">
        <v>2.4</v>
      </c>
      <c r="I206" s="11">
        <v>66</v>
      </c>
      <c r="J206" s="11">
        <v>50</v>
      </c>
      <c r="K206" s="11">
        <v>45</v>
      </c>
      <c r="L206" s="11">
        <v>64</v>
      </c>
      <c r="M206" s="11">
        <v>60</v>
      </c>
      <c r="N206" s="12">
        <f t="shared" si="12"/>
        <v>285</v>
      </c>
      <c r="O206" s="13">
        <f t="shared" si="13"/>
        <v>57</v>
      </c>
      <c r="P206" s="12" t="str">
        <f t="shared" si="14"/>
        <v>Improvement</v>
      </c>
      <c r="Q206" s="12" t="str">
        <f t="shared" si="15"/>
        <v>Bad</v>
      </c>
    </row>
    <row r="207" spans="1:17">
      <c r="A207" s="11" t="s">
        <v>375</v>
      </c>
      <c r="B207" s="11" t="s">
        <v>295</v>
      </c>
      <c r="C207" s="11" t="s">
        <v>30</v>
      </c>
      <c r="D207" s="11">
        <v>21</v>
      </c>
      <c r="E207" s="11" t="s">
        <v>48</v>
      </c>
      <c r="F207" s="11" t="s">
        <v>39</v>
      </c>
      <c r="G207" s="11">
        <v>81</v>
      </c>
      <c r="H207" s="11">
        <v>5.5</v>
      </c>
      <c r="I207" s="11">
        <v>63</v>
      </c>
      <c r="J207" s="11">
        <v>69</v>
      </c>
      <c r="K207" s="11">
        <v>45</v>
      </c>
      <c r="L207" s="11">
        <v>72</v>
      </c>
      <c r="M207" s="11">
        <v>54</v>
      </c>
      <c r="N207" s="12">
        <f t="shared" si="12"/>
        <v>303</v>
      </c>
      <c r="O207" s="13">
        <f t="shared" si="13"/>
        <v>60.6</v>
      </c>
      <c r="P207" s="12" t="str">
        <f t="shared" si="14"/>
        <v>Improvement</v>
      </c>
      <c r="Q207" s="12" t="str">
        <f t="shared" si="15"/>
        <v>Good</v>
      </c>
    </row>
    <row r="208" spans="1:17">
      <c r="A208" s="11" t="s">
        <v>376</v>
      </c>
      <c r="B208" s="11" t="s">
        <v>377</v>
      </c>
      <c r="C208" s="11" t="s">
        <v>30</v>
      </c>
      <c r="D208" s="11">
        <v>19</v>
      </c>
      <c r="E208" s="11" t="s">
        <v>20</v>
      </c>
      <c r="F208" s="11" t="s">
        <v>64</v>
      </c>
      <c r="G208" s="11">
        <v>86</v>
      </c>
      <c r="H208" s="11">
        <v>1</v>
      </c>
      <c r="I208" s="11">
        <v>50</v>
      </c>
      <c r="J208" s="11">
        <v>47</v>
      </c>
      <c r="K208" s="11">
        <v>52</v>
      </c>
      <c r="L208" s="11">
        <v>55</v>
      </c>
      <c r="M208" s="11">
        <v>53</v>
      </c>
      <c r="N208" s="12">
        <f t="shared" si="12"/>
        <v>257</v>
      </c>
      <c r="O208" s="13">
        <f t="shared" si="13"/>
        <v>51.4</v>
      </c>
      <c r="P208" s="12" t="str">
        <f t="shared" si="14"/>
        <v>Improvement</v>
      </c>
      <c r="Q208" s="12" t="str">
        <f t="shared" si="15"/>
        <v>Bad</v>
      </c>
    </row>
    <row r="209" spans="1:17">
      <c r="A209" s="11" t="s">
        <v>378</v>
      </c>
      <c r="B209" s="11" t="s">
        <v>379</v>
      </c>
      <c r="C209" s="11" t="s">
        <v>19</v>
      </c>
      <c r="D209" s="11">
        <v>21</v>
      </c>
      <c r="E209" s="11" t="s">
        <v>20</v>
      </c>
      <c r="F209" s="11" t="s">
        <v>52</v>
      </c>
      <c r="G209" s="11">
        <v>85</v>
      </c>
      <c r="H209" s="11">
        <v>2.2</v>
      </c>
      <c r="I209" s="11">
        <v>70</v>
      </c>
      <c r="J209" s="11">
        <v>64</v>
      </c>
      <c r="K209" s="11">
        <v>38</v>
      </c>
      <c r="L209" s="11">
        <v>53</v>
      </c>
      <c r="M209" s="11">
        <v>78</v>
      </c>
      <c r="N209" s="12">
        <f t="shared" si="12"/>
        <v>303</v>
      </c>
      <c r="O209" s="13">
        <f t="shared" si="13"/>
        <v>60.6</v>
      </c>
      <c r="P209" s="12" t="str">
        <f t="shared" si="14"/>
        <v>Improvement</v>
      </c>
      <c r="Q209" s="12" t="str">
        <f t="shared" si="15"/>
        <v>Good</v>
      </c>
    </row>
    <row r="210" spans="1:17">
      <c r="A210" s="11" t="s">
        <v>380</v>
      </c>
      <c r="B210" s="11" t="s">
        <v>381</v>
      </c>
      <c r="C210" s="11" t="s">
        <v>19</v>
      </c>
      <c r="D210" s="11">
        <v>22</v>
      </c>
      <c r="E210" s="11" t="s">
        <v>20</v>
      </c>
      <c r="F210" s="11" t="s">
        <v>64</v>
      </c>
      <c r="G210" s="11">
        <v>82</v>
      </c>
      <c r="H210" s="11">
        <v>5.5</v>
      </c>
      <c r="I210" s="11">
        <v>77</v>
      </c>
      <c r="J210" s="11">
        <v>76</v>
      </c>
      <c r="K210" s="11">
        <v>79</v>
      </c>
      <c r="L210" s="11">
        <v>91</v>
      </c>
      <c r="M210" s="11">
        <v>81</v>
      </c>
      <c r="N210" s="12">
        <f t="shared" si="12"/>
        <v>404</v>
      </c>
      <c r="O210" s="13">
        <f t="shared" si="13"/>
        <v>80.8</v>
      </c>
      <c r="P210" s="12" t="str">
        <f t="shared" si="14"/>
        <v>TopPerformer</v>
      </c>
      <c r="Q210" s="12" t="str">
        <f t="shared" si="15"/>
        <v>Excellent</v>
      </c>
    </row>
    <row r="211" spans="1:17">
      <c r="A211" s="11" t="s">
        <v>382</v>
      </c>
      <c r="B211" s="11" t="s">
        <v>383</v>
      </c>
      <c r="C211" s="11" t="s">
        <v>30</v>
      </c>
      <c r="D211" s="11">
        <v>21</v>
      </c>
      <c r="E211" s="11" t="s">
        <v>34</v>
      </c>
      <c r="F211" s="11" t="s">
        <v>39</v>
      </c>
      <c r="G211" s="11">
        <v>92</v>
      </c>
      <c r="H211" s="11">
        <v>3.2</v>
      </c>
      <c r="I211" s="11">
        <v>80</v>
      </c>
      <c r="J211" s="11">
        <v>93</v>
      </c>
      <c r="K211" s="11">
        <v>66</v>
      </c>
      <c r="L211" s="11">
        <v>68</v>
      </c>
      <c r="M211" s="11">
        <v>70</v>
      </c>
      <c r="N211" s="12">
        <f t="shared" si="12"/>
        <v>377</v>
      </c>
      <c r="O211" s="13">
        <f t="shared" si="13"/>
        <v>75.4</v>
      </c>
      <c r="P211" s="12" t="str">
        <f t="shared" si="14"/>
        <v>Improvement</v>
      </c>
      <c r="Q211" s="12" t="str">
        <f t="shared" si="15"/>
        <v>Good</v>
      </c>
    </row>
    <row r="212" spans="1:17">
      <c r="A212" s="11" t="s">
        <v>384</v>
      </c>
      <c r="B212" s="11" t="s">
        <v>385</v>
      </c>
      <c r="C212" s="11" t="s">
        <v>30</v>
      </c>
      <c r="D212" s="11">
        <v>21</v>
      </c>
      <c r="E212" s="11" t="s">
        <v>27</v>
      </c>
      <c r="F212" s="11" t="s">
        <v>31</v>
      </c>
      <c r="G212" s="11">
        <v>78</v>
      </c>
      <c r="H212" s="11">
        <v>4.4</v>
      </c>
      <c r="I212" s="11">
        <v>78</v>
      </c>
      <c r="J212" s="11">
        <v>62</v>
      </c>
      <c r="K212" s="11">
        <v>73</v>
      </c>
      <c r="L212" s="11">
        <v>64</v>
      </c>
      <c r="M212" s="11">
        <v>69</v>
      </c>
      <c r="N212" s="12">
        <f t="shared" si="12"/>
        <v>346</v>
      </c>
      <c r="O212" s="13">
        <f t="shared" si="13"/>
        <v>69.2</v>
      </c>
      <c r="P212" s="12" t="str">
        <f t="shared" si="14"/>
        <v>Improvement</v>
      </c>
      <c r="Q212" s="12" t="str">
        <f t="shared" si="15"/>
        <v>Good</v>
      </c>
    </row>
    <row r="213" spans="1:17">
      <c r="A213" s="11" t="s">
        <v>386</v>
      </c>
      <c r="B213" s="11" t="s">
        <v>383</v>
      </c>
      <c r="C213" s="11" t="s">
        <v>30</v>
      </c>
      <c r="D213" s="11">
        <v>18</v>
      </c>
      <c r="E213" s="11" t="s">
        <v>20</v>
      </c>
      <c r="F213" s="11" t="s">
        <v>52</v>
      </c>
      <c r="G213" s="11">
        <v>86</v>
      </c>
      <c r="H213" s="11">
        <v>4.3</v>
      </c>
      <c r="I213" s="11">
        <v>68</v>
      </c>
      <c r="J213" s="11">
        <v>83</v>
      </c>
      <c r="K213" s="11">
        <v>63</v>
      </c>
      <c r="L213" s="11">
        <v>68</v>
      </c>
      <c r="M213" s="11">
        <v>75</v>
      </c>
      <c r="N213" s="12">
        <f t="shared" si="12"/>
        <v>357</v>
      </c>
      <c r="O213" s="13">
        <f t="shared" si="13"/>
        <v>71.4</v>
      </c>
      <c r="P213" s="12" t="str">
        <f t="shared" si="14"/>
        <v>Improvement</v>
      </c>
      <c r="Q213" s="12" t="str">
        <f t="shared" si="15"/>
        <v>Good</v>
      </c>
    </row>
    <row r="214" spans="1:17">
      <c r="A214" s="11" t="s">
        <v>387</v>
      </c>
      <c r="B214" s="11" t="s">
        <v>55</v>
      </c>
      <c r="C214" s="11" t="s">
        <v>30</v>
      </c>
      <c r="D214" s="11">
        <v>22</v>
      </c>
      <c r="E214" s="11" t="s">
        <v>34</v>
      </c>
      <c r="F214" s="11" t="s">
        <v>105</v>
      </c>
      <c r="G214" s="11">
        <v>86</v>
      </c>
      <c r="H214" s="11">
        <v>1</v>
      </c>
      <c r="I214" s="11">
        <v>66</v>
      </c>
      <c r="J214" s="11">
        <v>72</v>
      </c>
      <c r="K214" s="11">
        <v>57</v>
      </c>
      <c r="L214" s="11">
        <v>52</v>
      </c>
      <c r="M214" s="11">
        <v>66</v>
      </c>
      <c r="N214" s="12">
        <f t="shared" si="12"/>
        <v>313</v>
      </c>
      <c r="O214" s="13">
        <f t="shared" si="13"/>
        <v>62.6</v>
      </c>
      <c r="P214" s="12" t="str">
        <f t="shared" si="14"/>
        <v>Improvement</v>
      </c>
      <c r="Q214" s="12" t="str">
        <f t="shared" si="15"/>
        <v>Good</v>
      </c>
    </row>
    <row r="215" spans="1:17">
      <c r="A215" s="11" t="s">
        <v>388</v>
      </c>
      <c r="B215" s="11" t="s">
        <v>389</v>
      </c>
      <c r="C215" s="11" t="s">
        <v>30</v>
      </c>
      <c r="D215" s="11">
        <v>19</v>
      </c>
      <c r="E215" s="11" t="s">
        <v>38</v>
      </c>
      <c r="F215" s="11" t="s">
        <v>21</v>
      </c>
      <c r="G215" s="11">
        <v>100</v>
      </c>
      <c r="H215" s="11">
        <v>5.1</v>
      </c>
      <c r="I215" s="11">
        <v>87</v>
      </c>
      <c r="J215" s="11">
        <v>93</v>
      </c>
      <c r="K215" s="11">
        <v>79</v>
      </c>
      <c r="L215" s="11">
        <v>64</v>
      </c>
      <c r="M215" s="11">
        <v>79</v>
      </c>
      <c r="N215" s="12">
        <f t="shared" si="12"/>
        <v>402</v>
      </c>
      <c r="O215" s="13">
        <f t="shared" si="13"/>
        <v>80.4</v>
      </c>
      <c r="P215" s="12" t="str">
        <f t="shared" si="14"/>
        <v>TopPerformer</v>
      </c>
      <c r="Q215" s="12" t="str">
        <f t="shared" si="15"/>
        <v>Excellent</v>
      </c>
    </row>
    <row r="216" spans="1:17">
      <c r="A216" s="11" t="s">
        <v>390</v>
      </c>
      <c r="B216" s="11" t="s">
        <v>61</v>
      </c>
      <c r="C216" s="11" t="s">
        <v>19</v>
      </c>
      <c r="D216" s="11">
        <v>22</v>
      </c>
      <c r="E216" s="11" t="s">
        <v>27</v>
      </c>
      <c r="F216" s="11" t="s">
        <v>105</v>
      </c>
      <c r="G216" s="11">
        <v>75</v>
      </c>
      <c r="H216" s="11">
        <v>6.1</v>
      </c>
      <c r="I216" s="11">
        <v>82</v>
      </c>
      <c r="J216" s="11">
        <v>82</v>
      </c>
      <c r="K216" s="11">
        <v>77</v>
      </c>
      <c r="L216" s="11">
        <v>79</v>
      </c>
      <c r="M216" s="11">
        <v>68</v>
      </c>
      <c r="N216" s="12">
        <f t="shared" si="12"/>
        <v>388</v>
      </c>
      <c r="O216" s="13">
        <f t="shared" si="13"/>
        <v>77.6</v>
      </c>
      <c r="P216" s="12" t="str">
        <f t="shared" si="14"/>
        <v>Improvement</v>
      </c>
      <c r="Q216" s="12" t="str">
        <f t="shared" si="15"/>
        <v>Good</v>
      </c>
    </row>
    <row r="217" spans="1:17">
      <c r="A217" s="11" t="s">
        <v>391</v>
      </c>
      <c r="B217" s="11" t="s">
        <v>392</v>
      </c>
      <c r="C217" s="11" t="s">
        <v>19</v>
      </c>
      <c r="D217" s="11">
        <v>21</v>
      </c>
      <c r="E217" s="11" t="s">
        <v>24</v>
      </c>
      <c r="F217" s="11" t="s">
        <v>105</v>
      </c>
      <c r="G217" s="11">
        <v>92</v>
      </c>
      <c r="H217" s="11">
        <v>6.2</v>
      </c>
      <c r="I217" s="11">
        <v>79</v>
      </c>
      <c r="J217" s="11">
        <v>84</v>
      </c>
      <c r="K217" s="11">
        <v>91</v>
      </c>
      <c r="L217" s="11">
        <v>98</v>
      </c>
      <c r="M217" s="11">
        <v>98</v>
      </c>
      <c r="N217" s="12">
        <f t="shared" si="12"/>
        <v>450</v>
      </c>
      <c r="O217" s="13">
        <f t="shared" si="13"/>
        <v>90</v>
      </c>
      <c r="P217" s="12" t="str">
        <f t="shared" si="14"/>
        <v>TopPerformer</v>
      </c>
      <c r="Q217" s="12" t="str">
        <f t="shared" si="15"/>
        <v>Excellent</v>
      </c>
    </row>
    <row r="218" spans="1:17">
      <c r="A218" s="11" t="s">
        <v>393</v>
      </c>
      <c r="B218" s="11" t="s">
        <v>287</v>
      </c>
      <c r="C218" s="11" t="s">
        <v>19</v>
      </c>
      <c r="D218" s="11">
        <v>18</v>
      </c>
      <c r="E218" s="11" t="s">
        <v>24</v>
      </c>
      <c r="F218" s="11" t="s">
        <v>39</v>
      </c>
      <c r="G218" s="11">
        <v>89</v>
      </c>
      <c r="H218" s="11">
        <v>2.1</v>
      </c>
      <c r="I218" s="11">
        <v>56</v>
      </c>
      <c r="J218" s="11">
        <v>70</v>
      </c>
      <c r="K218" s="11">
        <v>54</v>
      </c>
      <c r="L218" s="11">
        <v>38</v>
      </c>
      <c r="M218" s="11">
        <v>61</v>
      </c>
      <c r="N218" s="12">
        <f t="shared" si="12"/>
        <v>279</v>
      </c>
      <c r="O218" s="13">
        <f t="shared" si="13"/>
        <v>55.8</v>
      </c>
      <c r="P218" s="12" t="str">
        <f t="shared" si="14"/>
        <v>Improvement</v>
      </c>
      <c r="Q218" s="12" t="str">
        <f t="shared" si="15"/>
        <v>Bad</v>
      </c>
    </row>
    <row r="219" spans="1:17">
      <c r="A219" s="11" t="s">
        <v>394</v>
      </c>
      <c r="B219" s="11" t="s">
        <v>207</v>
      </c>
      <c r="C219" s="11" t="s">
        <v>19</v>
      </c>
      <c r="D219" s="11">
        <v>19</v>
      </c>
      <c r="E219" s="11" t="s">
        <v>24</v>
      </c>
      <c r="F219" s="11" t="s">
        <v>21</v>
      </c>
      <c r="G219" s="11">
        <v>79</v>
      </c>
      <c r="H219" s="11">
        <v>5</v>
      </c>
      <c r="I219" s="11">
        <v>54</v>
      </c>
      <c r="J219" s="11">
        <v>63</v>
      </c>
      <c r="K219" s="11">
        <v>53</v>
      </c>
      <c r="L219" s="11">
        <v>45</v>
      </c>
      <c r="M219" s="11">
        <v>63</v>
      </c>
      <c r="N219" s="12">
        <f t="shared" si="12"/>
        <v>278</v>
      </c>
      <c r="O219" s="13">
        <f t="shared" si="13"/>
        <v>55.6</v>
      </c>
      <c r="P219" s="12" t="str">
        <f t="shared" si="14"/>
        <v>Improvement</v>
      </c>
      <c r="Q219" s="12" t="str">
        <f t="shared" si="15"/>
        <v>Bad</v>
      </c>
    </row>
    <row r="220" spans="1:17">
      <c r="A220" s="11" t="s">
        <v>395</v>
      </c>
      <c r="B220" s="11" t="s">
        <v>329</v>
      </c>
      <c r="C220" s="11" t="s">
        <v>19</v>
      </c>
      <c r="D220" s="11">
        <v>19</v>
      </c>
      <c r="E220" s="11" t="s">
        <v>48</v>
      </c>
      <c r="F220" s="11" t="s">
        <v>52</v>
      </c>
      <c r="G220" s="11">
        <v>88</v>
      </c>
      <c r="H220" s="11">
        <v>1.3</v>
      </c>
      <c r="I220" s="11">
        <v>51</v>
      </c>
      <c r="J220" s="11">
        <v>48</v>
      </c>
      <c r="K220" s="11">
        <v>54</v>
      </c>
      <c r="L220" s="11">
        <v>56</v>
      </c>
      <c r="M220" s="11">
        <v>53</v>
      </c>
      <c r="N220" s="12">
        <f t="shared" si="12"/>
        <v>262</v>
      </c>
      <c r="O220" s="13">
        <f t="shared" si="13"/>
        <v>52.4</v>
      </c>
      <c r="P220" s="12" t="str">
        <f t="shared" si="14"/>
        <v>Improvement</v>
      </c>
      <c r="Q220" s="12" t="str">
        <f t="shared" si="15"/>
        <v>Bad</v>
      </c>
    </row>
    <row r="221" spans="1:17">
      <c r="A221" s="11" t="s">
        <v>396</v>
      </c>
      <c r="B221" s="11" t="s">
        <v>148</v>
      </c>
      <c r="C221" s="11" t="s">
        <v>30</v>
      </c>
      <c r="D221" s="11">
        <v>21</v>
      </c>
      <c r="E221" s="11" t="s">
        <v>24</v>
      </c>
      <c r="F221" s="11" t="s">
        <v>35</v>
      </c>
      <c r="G221" s="11">
        <v>84</v>
      </c>
      <c r="H221" s="11">
        <v>2.8</v>
      </c>
      <c r="I221" s="11">
        <v>41</v>
      </c>
      <c r="J221" s="11">
        <v>57</v>
      </c>
      <c r="K221" s="11">
        <v>52</v>
      </c>
      <c r="L221" s="11">
        <v>36</v>
      </c>
      <c r="M221" s="11">
        <v>50</v>
      </c>
      <c r="N221" s="12">
        <f t="shared" si="12"/>
        <v>236</v>
      </c>
      <c r="O221" s="13">
        <f t="shared" si="13"/>
        <v>47.2</v>
      </c>
      <c r="P221" s="12" t="str">
        <f t="shared" si="14"/>
        <v>Improvement</v>
      </c>
      <c r="Q221" s="12" t="str">
        <f t="shared" si="15"/>
        <v>Bad</v>
      </c>
    </row>
    <row r="222" spans="1:17">
      <c r="A222" s="11" t="s">
        <v>397</v>
      </c>
      <c r="B222" s="11" t="s">
        <v>398</v>
      </c>
      <c r="C222" s="11" t="s">
        <v>19</v>
      </c>
      <c r="D222" s="11">
        <v>18</v>
      </c>
      <c r="E222" s="11" t="s">
        <v>24</v>
      </c>
      <c r="F222" s="11" t="s">
        <v>31</v>
      </c>
      <c r="G222" s="11">
        <v>69</v>
      </c>
      <c r="H222" s="11">
        <v>5.5</v>
      </c>
      <c r="I222" s="11">
        <v>72</v>
      </c>
      <c r="J222" s="11">
        <v>73</v>
      </c>
      <c r="K222" s="11">
        <v>83</v>
      </c>
      <c r="L222" s="11">
        <v>59</v>
      </c>
      <c r="M222" s="11">
        <v>63</v>
      </c>
      <c r="N222" s="12">
        <f t="shared" si="12"/>
        <v>350</v>
      </c>
      <c r="O222" s="13">
        <f t="shared" si="13"/>
        <v>70</v>
      </c>
      <c r="P222" s="12" t="str">
        <f t="shared" si="14"/>
        <v>Improvement</v>
      </c>
      <c r="Q222" s="12" t="str">
        <f t="shared" si="15"/>
        <v>Good</v>
      </c>
    </row>
    <row r="223" spans="1:17">
      <c r="A223" s="11" t="s">
        <v>399</v>
      </c>
      <c r="B223" s="11" t="s">
        <v>146</v>
      </c>
      <c r="C223" s="11" t="s">
        <v>19</v>
      </c>
      <c r="D223" s="11">
        <v>19</v>
      </c>
      <c r="E223" s="11" t="s">
        <v>20</v>
      </c>
      <c r="F223" s="11" t="s">
        <v>39</v>
      </c>
      <c r="G223" s="11">
        <v>82</v>
      </c>
      <c r="H223" s="11">
        <v>5.5</v>
      </c>
      <c r="I223" s="11">
        <v>81</v>
      </c>
      <c r="J223" s="11">
        <v>86</v>
      </c>
      <c r="K223" s="11">
        <v>98</v>
      </c>
      <c r="L223" s="11">
        <v>74</v>
      </c>
      <c r="M223" s="11">
        <v>94</v>
      </c>
      <c r="N223" s="12">
        <f t="shared" si="12"/>
        <v>433</v>
      </c>
      <c r="O223" s="13">
        <f t="shared" si="13"/>
        <v>86.6</v>
      </c>
      <c r="P223" s="12" t="str">
        <f t="shared" si="14"/>
        <v>TopPerformer</v>
      </c>
      <c r="Q223" s="12" t="str">
        <f t="shared" si="15"/>
        <v>Excellent</v>
      </c>
    </row>
    <row r="224" spans="1:17">
      <c r="A224" s="11" t="s">
        <v>400</v>
      </c>
      <c r="B224" s="11" t="s">
        <v>68</v>
      </c>
      <c r="C224" s="11" t="s">
        <v>19</v>
      </c>
      <c r="D224" s="11">
        <v>22</v>
      </c>
      <c r="E224" s="11" t="s">
        <v>20</v>
      </c>
      <c r="F224" s="11" t="s">
        <v>21</v>
      </c>
      <c r="G224" s="11">
        <v>73</v>
      </c>
      <c r="H224" s="11">
        <v>2.3</v>
      </c>
      <c r="I224" s="11">
        <v>66</v>
      </c>
      <c r="J224" s="11">
        <v>57</v>
      </c>
      <c r="K224" s="11">
        <v>59</v>
      </c>
      <c r="L224" s="11">
        <v>63</v>
      </c>
      <c r="M224" s="11">
        <v>50</v>
      </c>
      <c r="N224" s="12">
        <f t="shared" si="12"/>
        <v>295</v>
      </c>
      <c r="O224" s="13">
        <f t="shared" si="13"/>
        <v>59</v>
      </c>
      <c r="P224" s="12" t="str">
        <f t="shared" si="14"/>
        <v>Improvement</v>
      </c>
      <c r="Q224" s="12" t="str">
        <f t="shared" si="15"/>
        <v>Bad</v>
      </c>
    </row>
    <row r="225" spans="1:17">
      <c r="A225" s="11" t="s">
        <v>401</v>
      </c>
      <c r="B225" s="11" t="s">
        <v>128</v>
      </c>
      <c r="C225" s="11" t="s">
        <v>30</v>
      </c>
      <c r="D225" s="11">
        <v>21</v>
      </c>
      <c r="E225" s="11" t="s">
        <v>48</v>
      </c>
      <c r="F225" s="11" t="s">
        <v>44</v>
      </c>
      <c r="G225" s="11">
        <v>78</v>
      </c>
      <c r="H225" s="11">
        <v>3.1</v>
      </c>
      <c r="I225" s="11">
        <v>72</v>
      </c>
      <c r="J225" s="11">
        <v>62</v>
      </c>
      <c r="K225" s="11">
        <v>63</v>
      </c>
      <c r="L225" s="11">
        <v>70</v>
      </c>
      <c r="M225" s="11">
        <v>59</v>
      </c>
      <c r="N225" s="12">
        <f t="shared" si="12"/>
        <v>326</v>
      </c>
      <c r="O225" s="13">
        <f t="shared" si="13"/>
        <v>65.2</v>
      </c>
      <c r="P225" s="12" t="str">
        <f t="shared" si="14"/>
        <v>Improvement</v>
      </c>
      <c r="Q225" s="12" t="str">
        <f t="shared" si="15"/>
        <v>Good</v>
      </c>
    </row>
    <row r="226" spans="1:17">
      <c r="A226" s="11" t="s">
        <v>402</v>
      </c>
      <c r="B226" s="11" t="s">
        <v>195</v>
      </c>
      <c r="C226" s="11" t="s">
        <v>19</v>
      </c>
      <c r="D226" s="11">
        <v>22</v>
      </c>
      <c r="E226" s="11" t="s">
        <v>24</v>
      </c>
      <c r="F226" s="11" t="s">
        <v>44</v>
      </c>
      <c r="G226" s="11">
        <v>76</v>
      </c>
      <c r="H226" s="11">
        <v>1</v>
      </c>
      <c r="I226" s="11">
        <v>30</v>
      </c>
      <c r="J226" s="11">
        <v>30</v>
      </c>
      <c r="K226" s="11">
        <v>37</v>
      </c>
      <c r="L226" s="11">
        <v>30</v>
      </c>
      <c r="M226" s="11">
        <v>33</v>
      </c>
      <c r="N226" s="12">
        <f t="shared" si="12"/>
        <v>160</v>
      </c>
      <c r="O226" s="13">
        <f t="shared" si="13"/>
        <v>32</v>
      </c>
      <c r="P226" s="12" t="str">
        <f t="shared" si="14"/>
        <v>Improvement</v>
      </c>
      <c r="Q226" s="12" t="str">
        <f t="shared" si="15"/>
        <v>Very Bad</v>
      </c>
    </row>
    <row r="227" spans="1:17">
      <c r="A227" s="11" t="s">
        <v>403</v>
      </c>
      <c r="B227" s="11" t="s">
        <v>404</v>
      </c>
      <c r="C227" s="11" t="s">
        <v>30</v>
      </c>
      <c r="D227" s="11">
        <v>19</v>
      </c>
      <c r="E227" s="11" t="s">
        <v>38</v>
      </c>
      <c r="F227" s="11" t="s">
        <v>64</v>
      </c>
      <c r="G227" s="11">
        <v>87</v>
      </c>
      <c r="H227" s="11">
        <v>3.8</v>
      </c>
      <c r="I227" s="11">
        <v>59</v>
      </c>
      <c r="J227" s="11">
        <v>65</v>
      </c>
      <c r="K227" s="11">
        <v>67</v>
      </c>
      <c r="L227" s="11">
        <v>55</v>
      </c>
      <c r="M227" s="11">
        <v>62</v>
      </c>
      <c r="N227" s="12">
        <f t="shared" si="12"/>
        <v>308</v>
      </c>
      <c r="O227" s="13">
        <f t="shared" si="13"/>
        <v>61.6</v>
      </c>
      <c r="P227" s="12" t="str">
        <f t="shared" si="14"/>
        <v>Improvement</v>
      </c>
      <c r="Q227" s="12" t="str">
        <f t="shared" si="15"/>
        <v>Good</v>
      </c>
    </row>
    <row r="228" spans="1:17">
      <c r="A228" s="11" t="s">
        <v>405</v>
      </c>
      <c r="B228" s="11" t="s">
        <v>406</v>
      </c>
      <c r="C228" s="11" t="s">
        <v>30</v>
      </c>
      <c r="D228" s="11">
        <v>20</v>
      </c>
      <c r="E228" s="11" t="s">
        <v>24</v>
      </c>
      <c r="F228" s="11" t="s">
        <v>35</v>
      </c>
      <c r="G228" s="11">
        <v>79</v>
      </c>
      <c r="H228" s="11">
        <v>6.5</v>
      </c>
      <c r="I228" s="11">
        <v>70</v>
      </c>
      <c r="J228" s="11">
        <v>68</v>
      </c>
      <c r="K228" s="11">
        <v>67</v>
      </c>
      <c r="L228" s="11">
        <v>67</v>
      </c>
      <c r="M228" s="11">
        <v>69</v>
      </c>
      <c r="N228" s="12">
        <f t="shared" si="12"/>
        <v>341</v>
      </c>
      <c r="O228" s="13">
        <f t="shared" si="13"/>
        <v>68.2</v>
      </c>
      <c r="P228" s="12" t="str">
        <f t="shared" si="14"/>
        <v>Improvement</v>
      </c>
      <c r="Q228" s="12" t="str">
        <f t="shared" si="15"/>
        <v>Good</v>
      </c>
    </row>
    <row r="229" spans="1:17">
      <c r="A229" s="11" t="s">
        <v>407</v>
      </c>
      <c r="B229" s="11" t="s">
        <v>408</v>
      </c>
      <c r="C229" s="11" t="s">
        <v>19</v>
      </c>
      <c r="D229" s="11">
        <v>22</v>
      </c>
      <c r="E229" s="11" t="s">
        <v>20</v>
      </c>
      <c r="F229" s="11" t="s">
        <v>31</v>
      </c>
      <c r="G229" s="11">
        <v>84</v>
      </c>
      <c r="H229" s="11">
        <v>3.8</v>
      </c>
      <c r="I229" s="11">
        <v>65</v>
      </c>
      <c r="J229" s="11">
        <v>77</v>
      </c>
      <c r="K229" s="11">
        <v>64</v>
      </c>
      <c r="L229" s="11">
        <v>79</v>
      </c>
      <c r="M229" s="11">
        <v>88</v>
      </c>
      <c r="N229" s="12">
        <f t="shared" si="12"/>
        <v>373</v>
      </c>
      <c r="O229" s="13">
        <f t="shared" si="13"/>
        <v>74.6</v>
      </c>
      <c r="P229" s="12" t="str">
        <f t="shared" si="14"/>
        <v>Improvement</v>
      </c>
      <c r="Q229" s="12" t="str">
        <f t="shared" si="15"/>
        <v>Good</v>
      </c>
    </row>
    <row r="230" spans="1:17">
      <c r="A230" s="11" t="s">
        <v>409</v>
      </c>
      <c r="B230" s="11" t="s">
        <v>410</v>
      </c>
      <c r="C230" s="11" t="s">
        <v>19</v>
      </c>
      <c r="D230" s="11">
        <v>19</v>
      </c>
      <c r="E230" s="11" t="s">
        <v>27</v>
      </c>
      <c r="F230" s="11" t="s">
        <v>105</v>
      </c>
      <c r="G230" s="11">
        <v>93</v>
      </c>
      <c r="H230" s="11">
        <v>4.6</v>
      </c>
      <c r="I230" s="11">
        <v>80</v>
      </c>
      <c r="J230" s="11">
        <v>75</v>
      </c>
      <c r="K230" s="11">
        <v>81</v>
      </c>
      <c r="L230" s="11">
        <v>79</v>
      </c>
      <c r="M230" s="11">
        <v>84</v>
      </c>
      <c r="N230" s="12">
        <f t="shared" si="12"/>
        <v>399</v>
      </c>
      <c r="O230" s="13">
        <f t="shared" si="13"/>
        <v>79.8</v>
      </c>
      <c r="P230" s="12" t="str">
        <f t="shared" si="14"/>
        <v>Improvement</v>
      </c>
      <c r="Q230" s="12" t="str">
        <f t="shared" si="15"/>
        <v>Good</v>
      </c>
    </row>
    <row r="231" spans="1:17">
      <c r="A231" s="11" t="s">
        <v>411</v>
      </c>
      <c r="B231" s="11" t="s">
        <v>160</v>
      </c>
      <c r="C231" s="11" t="s">
        <v>19</v>
      </c>
      <c r="D231" s="11">
        <v>19</v>
      </c>
      <c r="E231" s="11" t="s">
        <v>24</v>
      </c>
      <c r="F231" s="11" t="s">
        <v>44</v>
      </c>
      <c r="G231" s="11">
        <v>76</v>
      </c>
      <c r="H231" s="11">
        <v>6.4</v>
      </c>
      <c r="I231" s="11">
        <v>81</v>
      </c>
      <c r="J231" s="11">
        <v>76</v>
      </c>
      <c r="K231" s="11">
        <v>70</v>
      </c>
      <c r="L231" s="11">
        <v>75</v>
      </c>
      <c r="M231" s="11">
        <v>86</v>
      </c>
      <c r="N231" s="12">
        <f t="shared" si="12"/>
        <v>388</v>
      </c>
      <c r="O231" s="13">
        <f t="shared" si="13"/>
        <v>77.6</v>
      </c>
      <c r="P231" s="12" t="str">
        <f t="shared" si="14"/>
        <v>Improvement</v>
      </c>
      <c r="Q231" s="12" t="str">
        <f t="shared" si="15"/>
        <v>Good</v>
      </c>
    </row>
    <row r="232" spans="1:17">
      <c r="A232" s="11" t="s">
        <v>412</v>
      </c>
      <c r="B232" s="11" t="s">
        <v>174</v>
      </c>
      <c r="C232" s="11" t="s">
        <v>19</v>
      </c>
      <c r="D232" s="11">
        <v>19</v>
      </c>
      <c r="E232" s="11" t="s">
        <v>24</v>
      </c>
      <c r="F232" s="11" t="s">
        <v>35</v>
      </c>
      <c r="G232" s="11">
        <v>98</v>
      </c>
      <c r="H232" s="11">
        <v>3.5</v>
      </c>
      <c r="I232" s="11">
        <v>69</v>
      </c>
      <c r="J232" s="11">
        <v>59</v>
      </c>
      <c r="K232" s="11">
        <v>53</v>
      </c>
      <c r="L232" s="11">
        <v>51</v>
      </c>
      <c r="M232" s="11">
        <v>63</v>
      </c>
      <c r="N232" s="12">
        <f t="shared" si="12"/>
        <v>295</v>
      </c>
      <c r="O232" s="13">
        <f t="shared" si="13"/>
        <v>59</v>
      </c>
      <c r="P232" s="12" t="str">
        <f t="shared" si="14"/>
        <v>Improvement</v>
      </c>
      <c r="Q232" s="12" t="str">
        <f t="shared" si="15"/>
        <v>Bad</v>
      </c>
    </row>
    <row r="233" spans="1:17">
      <c r="A233" s="11" t="s">
        <v>413</v>
      </c>
      <c r="B233" s="11" t="s">
        <v>414</v>
      </c>
      <c r="C233" s="11" t="s">
        <v>19</v>
      </c>
      <c r="D233" s="11">
        <v>18</v>
      </c>
      <c r="E233" s="11" t="s">
        <v>20</v>
      </c>
      <c r="F233" s="11" t="s">
        <v>44</v>
      </c>
      <c r="G233" s="11">
        <v>84</v>
      </c>
      <c r="H233" s="11">
        <v>4</v>
      </c>
      <c r="I233" s="11">
        <v>73</v>
      </c>
      <c r="J233" s="11">
        <v>57</v>
      </c>
      <c r="K233" s="11">
        <v>51</v>
      </c>
      <c r="L233" s="11">
        <v>69</v>
      </c>
      <c r="M233" s="11">
        <v>69</v>
      </c>
      <c r="N233" s="12">
        <f t="shared" si="12"/>
        <v>319</v>
      </c>
      <c r="O233" s="13">
        <f t="shared" si="13"/>
        <v>63.8</v>
      </c>
      <c r="P233" s="12" t="str">
        <f t="shared" si="14"/>
        <v>Improvement</v>
      </c>
      <c r="Q233" s="12" t="str">
        <f t="shared" si="15"/>
        <v>Good</v>
      </c>
    </row>
    <row r="234" spans="1:17">
      <c r="A234" s="11" t="s">
        <v>415</v>
      </c>
      <c r="B234" s="11" t="s">
        <v>26</v>
      </c>
      <c r="C234" s="11" t="s">
        <v>30</v>
      </c>
      <c r="D234" s="11">
        <v>22</v>
      </c>
      <c r="E234" s="11" t="s">
        <v>20</v>
      </c>
      <c r="F234" s="11" t="s">
        <v>35</v>
      </c>
      <c r="G234" s="11">
        <v>89</v>
      </c>
      <c r="H234" s="11">
        <v>3.7</v>
      </c>
      <c r="I234" s="11">
        <v>59</v>
      </c>
      <c r="J234" s="11">
        <v>78</v>
      </c>
      <c r="K234" s="11">
        <v>48</v>
      </c>
      <c r="L234" s="11">
        <v>66</v>
      </c>
      <c r="M234" s="11">
        <v>49</v>
      </c>
      <c r="N234" s="12">
        <f t="shared" si="12"/>
        <v>300</v>
      </c>
      <c r="O234" s="13">
        <f t="shared" si="13"/>
        <v>60</v>
      </c>
      <c r="P234" s="12" t="str">
        <f t="shared" si="14"/>
        <v>Improvement</v>
      </c>
      <c r="Q234" s="12" t="str">
        <f t="shared" si="15"/>
        <v>Good</v>
      </c>
    </row>
    <row r="235" spans="1:17">
      <c r="A235" s="11" t="s">
        <v>416</v>
      </c>
      <c r="B235" s="11" t="s">
        <v>417</v>
      </c>
      <c r="C235" s="11" t="s">
        <v>19</v>
      </c>
      <c r="D235" s="11">
        <v>20</v>
      </c>
      <c r="E235" s="11" t="s">
        <v>48</v>
      </c>
      <c r="F235" s="11" t="s">
        <v>44</v>
      </c>
      <c r="G235" s="11">
        <v>85</v>
      </c>
      <c r="H235" s="11">
        <v>3.2</v>
      </c>
      <c r="I235" s="11">
        <v>55</v>
      </c>
      <c r="J235" s="11">
        <v>59</v>
      </c>
      <c r="K235" s="11">
        <v>60</v>
      </c>
      <c r="L235" s="11">
        <v>51</v>
      </c>
      <c r="M235" s="11">
        <v>48</v>
      </c>
      <c r="N235" s="12">
        <f t="shared" si="12"/>
        <v>273</v>
      </c>
      <c r="O235" s="13">
        <f t="shared" si="13"/>
        <v>54.6</v>
      </c>
      <c r="P235" s="12" t="str">
        <f t="shared" si="14"/>
        <v>Improvement</v>
      </c>
      <c r="Q235" s="12" t="str">
        <f t="shared" si="15"/>
        <v>Bad</v>
      </c>
    </row>
    <row r="236" spans="1:17">
      <c r="A236" s="11" t="s">
        <v>418</v>
      </c>
      <c r="B236" s="11" t="s">
        <v>26</v>
      </c>
      <c r="C236" s="11" t="s">
        <v>30</v>
      </c>
      <c r="D236" s="11">
        <v>20</v>
      </c>
      <c r="E236" s="11" t="s">
        <v>34</v>
      </c>
      <c r="F236" s="11" t="s">
        <v>52</v>
      </c>
      <c r="G236" s="11">
        <v>73</v>
      </c>
      <c r="H236" s="11">
        <v>4.1</v>
      </c>
      <c r="I236" s="11">
        <v>52</v>
      </c>
      <c r="J236" s="11">
        <v>70</v>
      </c>
      <c r="K236" s="11">
        <v>85</v>
      </c>
      <c r="L236" s="11">
        <v>72</v>
      </c>
      <c r="M236" s="11">
        <v>78</v>
      </c>
      <c r="N236" s="12">
        <f t="shared" si="12"/>
        <v>357</v>
      </c>
      <c r="O236" s="13">
        <f t="shared" si="13"/>
        <v>71.4</v>
      </c>
      <c r="P236" s="12" t="str">
        <f t="shared" si="14"/>
        <v>Improvement</v>
      </c>
      <c r="Q236" s="12" t="str">
        <f t="shared" si="15"/>
        <v>Good</v>
      </c>
    </row>
    <row r="237" spans="1:17">
      <c r="A237" s="11" t="s">
        <v>419</v>
      </c>
      <c r="B237" s="11" t="s">
        <v>420</v>
      </c>
      <c r="C237" s="11" t="s">
        <v>30</v>
      </c>
      <c r="D237" s="11">
        <v>21</v>
      </c>
      <c r="E237" s="11" t="s">
        <v>24</v>
      </c>
      <c r="F237" s="11" t="s">
        <v>64</v>
      </c>
      <c r="G237" s="11">
        <v>74</v>
      </c>
      <c r="H237" s="11">
        <v>2.4</v>
      </c>
      <c r="I237" s="11">
        <v>77</v>
      </c>
      <c r="J237" s="11">
        <v>58</v>
      </c>
      <c r="K237" s="11">
        <v>73</v>
      </c>
      <c r="L237" s="11">
        <v>65</v>
      </c>
      <c r="M237" s="11">
        <v>68</v>
      </c>
      <c r="N237" s="12">
        <f t="shared" si="12"/>
        <v>341</v>
      </c>
      <c r="O237" s="13">
        <f t="shared" si="13"/>
        <v>68.2</v>
      </c>
      <c r="P237" s="12" t="str">
        <f t="shared" si="14"/>
        <v>Improvement</v>
      </c>
      <c r="Q237" s="12" t="str">
        <f t="shared" si="15"/>
        <v>Good</v>
      </c>
    </row>
    <row r="238" spans="1:17">
      <c r="A238" s="11" t="s">
        <v>421</v>
      </c>
      <c r="B238" s="11" t="s">
        <v>422</v>
      </c>
      <c r="C238" s="11" t="s">
        <v>19</v>
      </c>
      <c r="D238" s="11">
        <v>22</v>
      </c>
      <c r="E238" s="11" t="s">
        <v>34</v>
      </c>
      <c r="F238" s="11" t="s">
        <v>52</v>
      </c>
      <c r="G238" s="11">
        <v>94</v>
      </c>
      <c r="H238" s="11">
        <v>4.3</v>
      </c>
      <c r="I238" s="11">
        <v>67</v>
      </c>
      <c r="J238" s="11">
        <v>91</v>
      </c>
      <c r="K238" s="11">
        <v>77</v>
      </c>
      <c r="L238" s="11">
        <v>79</v>
      </c>
      <c r="M238" s="11">
        <v>60</v>
      </c>
      <c r="N238" s="12">
        <f t="shared" si="12"/>
        <v>374</v>
      </c>
      <c r="O238" s="13">
        <f t="shared" si="13"/>
        <v>74.8</v>
      </c>
      <c r="P238" s="12" t="str">
        <f t="shared" si="14"/>
        <v>Improvement</v>
      </c>
      <c r="Q238" s="12" t="str">
        <f t="shared" si="15"/>
        <v>Good</v>
      </c>
    </row>
    <row r="239" spans="1:17">
      <c r="A239" s="11" t="s">
        <v>423</v>
      </c>
      <c r="B239" s="11" t="s">
        <v>201</v>
      </c>
      <c r="C239" s="11" t="s">
        <v>19</v>
      </c>
      <c r="D239" s="11">
        <v>19</v>
      </c>
      <c r="E239" s="11" t="s">
        <v>27</v>
      </c>
      <c r="F239" s="11" t="s">
        <v>44</v>
      </c>
      <c r="G239" s="11">
        <v>64</v>
      </c>
      <c r="H239" s="11">
        <v>5.4</v>
      </c>
      <c r="I239" s="11">
        <v>74</v>
      </c>
      <c r="J239" s="11">
        <v>62</v>
      </c>
      <c r="K239" s="11">
        <v>65</v>
      </c>
      <c r="L239" s="11">
        <v>72</v>
      </c>
      <c r="M239" s="11">
        <v>56</v>
      </c>
      <c r="N239" s="12">
        <f t="shared" si="12"/>
        <v>329</v>
      </c>
      <c r="O239" s="13">
        <f t="shared" si="13"/>
        <v>65.8</v>
      </c>
      <c r="P239" s="12" t="str">
        <f t="shared" si="14"/>
        <v>Improvement</v>
      </c>
      <c r="Q239" s="12" t="str">
        <f t="shared" si="15"/>
        <v>Good</v>
      </c>
    </row>
    <row r="240" spans="1:17">
      <c r="A240" s="11" t="s">
        <v>424</v>
      </c>
      <c r="B240" s="11" t="s">
        <v>95</v>
      </c>
      <c r="C240" s="11" t="s">
        <v>30</v>
      </c>
      <c r="D240" s="11">
        <v>21</v>
      </c>
      <c r="E240" s="11" t="s">
        <v>27</v>
      </c>
      <c r="F240" s="11" t="s">
        <v>39</v>
      </c>
      <c r="G240" s="11">
        <v>70</v>
      </c>
      <c r="H240" s="11">
        <v>1.3</v>
      </c>
      <c r="I240" s="11">
        <v>53</v>
      </c>
      <c r="J240" s="11">
        <v>54</v>
      </c>
      <c r="K240" s="11">
        <v>43</v>
      </c>
      <c r="L240" s="11">
        <v>52</v>
      </c>
      <c r="M240" s="11">
        <v>57</v>
      </c>
      <c r="N240" s="12">
        <f t="shared" si="12"/>
        <v>259</v>
      </c>
      <c r="O240" s="13">
        <f t="shared" si="13"/>
        <v>51.8</v>
      </c>
      <c r="P240" s="12" t="str">
        <f t="shared" si="14"/>
        <v>Improvement</v>
      </c>
      <c r="Q240" s="12" t="str">
        <f t="shared" si="15"/>
        <v>Bad</v>
      </c>
    </row>
    <row r="241" spans="1:17">
      <c r="A241" s="11" t="s">
        <v>425</v>
      </c>
      <c r="B241" s="11" t="s">
        <v>97</v>
      </c>
      <c r="C241" s="11" t="s">
        <v>19</v>
      </c>
      <c r="D241" s="11">
        <v>21</v>
      </c>
      <c r="E241" s="11" t="s">
        <v>48</v>
      </c>
      <c r="F241" s="11" t="s">
        <v>35</v>
      </c>
      <c r="G241" s="11">
        <v>75</v>
      </c>
      <c r="H241" s="11">
        <v>2.8</v>
      </c>
      <c r="I241" s="11">
        <v>71</v>
      </c>
      <c r="J241" s="11">
        <v>65</v>
      </c>
      <c r="K241" s="11">
        <v>68</v>
      </c>
      <c r="L241" s="11">
        <v>80</v>
      </c>
      <c r="M241" s="11">
        <v>81</v>
      </c>
      <c r="N241" s="12">
        <f t="shared" si="12"/>
        <v>365</v>
      </c>
      <c r="O241" s="13">
        <f t="shared" si="13"/>
        <v>73</v>
      </c>
      <c r="P241" s="12" t="str">
        <f t="shared" si="14"/>
        <v>Improvement</v>
      </c>
      <c r="Q241" s="12" t="str">
        <f t="shared" si="15"/>
        <v>Good</v>
      </c>
    </row>
    <row r="242" spans="1:17">
      <c r="A242" s="11" t="s">
        <v>426</v>
      </c>
      <c r="B242" s="11" t="s">
        <v>158</v>
      </c>
      <c r="C242" s="11" t="s">
        <v>30</v>
      </c>
      <c r="D242" s="11">
        <v>20</v>
      </c>
      <c r="E242" s="11" t="s">
        <v>34</v>
      </c>
      <c r="F242" s="11" t="s">
        <v>64</v>
      </c>
      <c r="G242" s="11">
        <v>73</v>
      </c>
      <c r="H242" s="11">
        <v>3.7</v>
      </c>
      <c r="I242" s="11">
        <v>71</v>
      </c>
      <c r="J242" s="11">
        <v>72</v>
      </c>
      <c r="K242" s="11">
        <v>59</v>
      </c>
      <c r="L242" s="11">
        <v>60</v>
      </c>
      <c r="M242" s="11">
        <v>67</v>
      </c>
      <c r="N242" s="12">
        <f t="shared" si="12"/>
        <v>329</v>
      </c>
      <c r="O242" s="13">
        <f t="shared" si="13"/>
        <v>65.8</v>
      </c>
      <c r="P242" s="12" t="str">
        <f t="shared" si="14"/>
        <v>Improvement</v>
      </c>
      <c r="Q242" s="12" t="str">
        <f t="shared" si="15"/>
        <v>Good</v>
      </c>
    </row>
    <row r="243" spans="1:17">
      <c r="A243" s="11" t="s">
        <v>427</v>
      </c>
      <c r="B243" s="11" t="s">
        <v>144</v>
      </c>
      <c r="C243" s="11" t="s">
        <v>30</v>
      </c>
      <c r="D243" s="11">
        <v>18</v>
      </c>
      <c r="E243" s="11" t="s">
        <v>24</v>
      </c>
      <c r="F243" s="11" t="s">
        <v>44</v>
      </c>
      <c r="G243" s="11">
        <v>73</v>
      </c>
      <c r="H243" s="11">
        <v>2.4</v>
      </c>
      <c r="I243" s="11">
        <v>66</v>
      </c>
      <c r="J243" s="11">
        <v>80</v>
      </c>
      <c r="K243" s="11">
        <v>63</v>
      </c>
      <c r="L243" s="11">
        <v>69</v>
      </c>
      <c r="M243" s="11">
        <v>86</v>
      </c>
      <c r="N243" s="12">
        <f t="shared" si="12"/>
        <v>364</v>
      </c>
      <c r="O243" s="13">
        <f t="shared" si="13"/>
        <v>72.8</v>
      </c>
      <c r="P243" s="12" t="str">
        <f t="shared" si="14"/>
        <v>Improvement</v>
      </c>
      <c r="Q243" s="12" t="str">
        <f t="shared" si="15"/>
        <v>Good</v>
      </c>
    </row>
    <row r="244" spans="1:17">
      <c r="A244" s="11" t="s">
        <v>428</v>
      </c>
      <c r="B244" s="11" t="s">
        <v>323</v>
      </c>
      <c r="C244" s="11" t="s">
        <v>19</v>
      </c>
      <c r="D244" s="11">
        <v>22</v>
      </c>
      <c r="E244" s="11" t="s">
        <v>34</v>
      </c>
      <c r="F244" s="11" t="s">
        <v>31</v>
      </c>
      <c r="G244" s="11">
        <v>93</v>
      </c>
      <c r="H244" s="11">
        <v>2.6</v>
      </c>
      <c r="I244" s="11">
        <v>57</v>
      </c>
      <c r="J244" s="11">
        <v>64</v>
      </c>
      <c r="K244" s="11">
        <v>54</v>
      </c>
      <c r="L244" s="11">
        <v>60</v>
      </c>
      <c r="M244" s="11">
        <v>65</v>
      </c>
      <c r="N244" s="12">
        <f t="shared" si="12"/>
        <v>300</v>
      </c>
      <c r="O244" s="13">
        <f t="shared" si="13"/>
        <v>60</v>
      </c>
      <c r="P244" s="12" t="str">
        <f t="shared" si="14"/>
        <v>Improvement</v>
      </c>
      <c r="Q244" s="12" t="str">
        <f t="shared" si="15"/>
        <v>Good</v>
      </c>
    </row>
    <row r="245" spans="1:17">
      <c r="A245" s="11" t="s">
        <v>429</v>
      </c>
      <c r="B245" s="11" t="s">
        <v>134</v>
      </c>
      <c r="C245" s="11" t="s">
        <v>19</v>
      </c>
      <c r="D245" s="11">
        <v>20</v>
      </c>
      <c r="E245" s="11" t="s">
        <v>20</v>
      </c>
      <c r="F245" s="11" t="s">
        <v>31</v>
      </c>
      <c r="G245" s="11">
        <v>69</v>
      </c>
      <c r="H245" s="11">
        <v>3.2</v>
      </c>
      <c r="I245" s="11">
        <v>57</v>
      </c>
      <c r="J245" s="11">
        <v>58</v>
      </c>
      <c r="K245" s="11">
        <v>60</v>
      </c>
      <c r="L245" s="11">
        <v>55</v>
      </c>
      <c r="M245" s="11">
        <v>65</v>
      </c>
      <c r="N245" s="12">
        <f t="shared" si="12"/>
        <v>295</v>
      </c>
      <c r="O245" s="13">
        <f t="shared" si="13"/>
        <v>59</v>
      </c>
      <c r="P245" s="12" t="str">
        <f t="shared" si="14"/>
        <v>Improvement</v>
      </c>
      <c r="Q245" s="12" t="str">
        <f t="shared" si="15"/>
        <v>Bad</v>
      </c>
    </row>
    <row r="246" spans="1:17">
      <c r="A246" s="11" t="s">
        <v>430</v>
      </c>
      <c r="B246" s="11" t="s">
        <v>136</v>
      </c>
      <c r="C246" s="11" t="s">
        <v>19</v>
      </c>
      <c r="D246" s="11">
        <v>20</v>
      </c>
      <c r="E246" s="11" t="s">
        <v>34</v>
      </c>
      <c r="F246" s="11" t="s">
        <v>44</v>
      </c>
      <c r="G246" s="11">
        <v>79</v>
      </c>
      <c r="H246" s="11">
        <v>4.3</v>
      </c>
      <c r="I246" s="11">
        <v>81</v>
      </c>
      <c r="J246" s="11">
        <v>62</v>
      </c>
      <c r="K246" s="11">
        <v>80</v>
      </c>
      <c r="L246" s="11">
        <v>86</v>
      </c>
      <c r="M246" s="11">
        <v>75</v>
      </c>
      <c r="N246" s="12">
        <f t="shared" si="12"/>
        <v>384</v>
      </c>
      <c r="O246" s="13">
        <f t="shared" si="13"/>
        <v>76.8</v>
      </c>
      <c r="P246" s="12" t="str">
        <f t="shared" si="14"/>
        <v>Improvement</v>
      </c>
      <c r="Q246" s="12" t="str">
        <f t="shared" si="15"/>
        <v>Good</v>
      </c>
    </row>
    <row r="247" spans="1:17">
      <c r="A247" s="11" t="s">
        <v>431</v>
      </c>
      <c r="B247" s="11" t="s">
        <v>432</v>
      </c>
      <c r="C247" s="11" t="s">
        <v>30</v>
      </c>
      <c r="D247" s="11">
        <v>18</v>
      </c>
      <c r="E247" s="11" t="s">
        <v>48</v>
      </c>
      <c r="F247" s="11" t="s">
        <v>31</v>
      </c>
      <c r="G247" s="11">
        <v>83</v>
      </c>
      <c r="H247" s="11">
        <v>1.2</v>
      </c>
      <c r="I247" s="11">
        <v>63</v>
      </c>
      <c r="J247" s="11">
        <v>37</v>
      </c>
      <c r="K247" s="11">
        <v>42</v>
      </c>
      <c r="L247" s="11">
        <v>44</v>
      </c>
      <c r="M247" s="11">
        <v>52</v>
      </c>
      <c r="N247" s="12">
        <f t="shared" si="12"/>
        <v>238</v>
      </c>
      <c r="O247" s="13">
        <f t="shared" si="13"/>
        <v>47.6</v>
      </c>
      <c r="P247" s="12" t="str">
        <f t="shared" si="14"/>
        <v>Improvement</v>
      </c>
      <c r="Q247" s="12" t="str">
        <f t="shared" si="15"/>
        <v>Bad</v>
      </c>
    </row>
    <row r="248" spans="1:17">
      <c r="A248" s="11" t="s">
        <v>433</v>
      </c>
      <c r="B248" s="11" t="s">
        <v>43</v>
      </c>
      <c r="C248" s="11" t="s">
        <v>19</v>
      </c>
      <c r="D248" s="11">
        <v>20</v>
      </c>
      <c r="E248" s="11" t="s">
        <v>27</v>
      </c>
      <c r="F248" s="11" t="s">
        <v>35</v>
      </c>
      <c r="G248" s="11">
        <v>86</v>
      </c>
      <c r="H248" s="11">
        <v>4</v>
      </c>
      <c r="I248" s="11">
        <v>62</v>
      </c>
      <c r="J248" s="11">
        <v>76</v>
      </c>
      <c r="K248" s="11">
        <v>60</v>
      </c>
      <c r="L248" s="11">
        <v>75</v>
      </c>
      <c r="M248" s="11">
        <v>78</v>
      </c>
      <c r="N248" s="12">
        <f t="shared" si="12"/>
        <v>351</v>
      </c>
      <c r="O248" s="13">
        <f t="shared" si="13"/>
        <v>70.2</v>
      </c>
      <c r="P248" s="12" t="str">
        <f t="shared" si="14"/>
        <v>Improvement</v>
      </c>
      <c r="Q248" s="12" t="str">
        <f t="shared" si="15"/>
        <v>Good</v>
      </c>
    </row>
    <row r="249" spans="1:17">
      <c r="A249" s="11" t="s">
        <v>434</v>
      </c>
      <c r="B249" s="11" t="s">
        <v>308</v>
      </c>
      <c r="C249" s="11" t="s">
        <v>30</v>
      </c>
      <c r="D249" s="11">
        <v>18</v>
      </c>
      <c r="E249" s="11" t="s">
        <v>48</v>
      </c>
      <c r="F249" s="11" t="s">
        <v>21</v>
      </c>
      <c r="G249" s="11">
        <v>56</v>
      </c>
      <c r="H249" s="11">
        <v>4.3</v>
      </c>
      <c r="I249" s="11">
        <v>59</v>
      </c>
      <c r="J249" s="11">
        <v>65</v>
      </c>
      <c r="K249" s="11">
        <v>59</v>
      </c>
      <c r="L249" s="11">
        <v>51</v>
      </c>
      <c r="M249" s="11">
        <v>59</v>
      </c>
      <c r="N249" s="12">
        <f t="shared" si="12"/>
        <v>293</v>
      </c>
      <c r="O249" s="13">
        <f t="shared" si="13"/>
        <v>58.6</v>
      </c>
      <c r="P249" s="12" t="str">
        <f t="shared" si="14"/>
        <v>Improvement</v>
      </c>
      <c r="Q249" s="12" t="str">
        <f t="shared" si="15"/>
        <v>Bad</v>
      </c>
    </row>
    <row r="250" spans="1:17">
      <c r="A250" s="11" t="s">
        <v>435</v>
      </c>
      <c r="B250" s="11" t="s">
        <v>274</v>
      </c>
      <c r="C250" s="11" t="s">
        <v>30</v>
      </c>
      <c r="D250" s="11">
        <v>20</v>
      </c>
      <c r="E250" s="11" t="s">
        <v>34</v>
      </c>
      <c r="F250" s="11" t="s">
        <v>31</v>
      </c>
      <c r="G250" s="11">
        <v>91</v>
      </c>
      <c r="H250" s="11">
        <v>2.2</v>
      </c>
      <c r="I250" s="11">
        <v>71</v>
      </c>
      <c r="J250" s="11">
        <v>47</v>
      </c>
      <c r="K250" s="11">
        <v>62</v>
      </c>
      <c r="L250" s="11">
        <v>56</v>
      </c>
      <c r="M250" s="11">
        <v>58</v>
      </c>
      <c r="N250" s="12">
        <f t="shared" si="12"/>
        <v>294</v>
      </c>
      <c r="O250" s="13">
        <f t="shared" si="13"/>
        <v>58.8</v>
      </c>
      <c r="P250" s="12" t="str">
        <f t="shared" si="14"/>
        <v>Improvement</v>
      </c>
      <c r="Q250" s="12" t="str">
        <f t="shared" si="15"/>
        <v>Bad</v>
      </c>
    </row>
    <row r="251" spans="1:17">
      <c r="A251" s="11" t="s">
        <v>436</v>
      </c>
      <c r="B251" s="11" t="s">
        <v>366</v>
      </c>
      <c r="C251" s="11" t="s">
        <v>30</v>
      </c>
      <c r="D251" s="11">
        <v>20</v>
      </c>
      <c r="E251" s="11" t="s">
        <v>20</v>
      </c>
      <c r="F251" s="11" t="s">
        <v>21</v>
      </c>
      <c r="G251" s="11">
        <v>70</v>
      </c>
      <c r="H251" s="11">
        <v>2</v>
      </c>
      <c r="I251" s="11">
        <v>59</v>
      </c>
      <c r="J251" s="11">
        <v>42</v>
      </c>
      <c r="K251" s="11">
        <v>45</v>
      </c>
      <c r="L251" s="11">
        <v>42</v>
      </c>
      <c r="M251" s="11">
        <v>38</v>
      </c>
      <c r="N251" s="12">
        <f t="shared" si="12"/>
        <v>226</v>
      </c>
      <c r="O251" s="13">
        <f t="shared" si="13"/>
        <v>45.2</v>
      </c>
      <c r="P251" s="12" t="str">
        <f t="shared" si="14"/>
        <v>Improvement</v>
      </c>
      <c r="Q251" s="12" t="str">
        <f t="shared" si="15"/>
        <v>Bad</v>
      </c>
    </row>
    <row r="252" spans="1:17">
      <c r="A252" s="11" t="s">
        <v>437</v>
      </c>
      <c r="B252" s="11" t="s">
        <v>438</v>
      </c>
      <c r="C252" s="11" t="s">
        <v>30</v>
      </c>
      <c r="D252" s="11">
        <v>18</v>
      </c>
      <c r="E252" s="11" t="s">
        <v>27</v>
      </c>
      <c r="F252" s="11" t="s">
        <v>44</v>
      </c>
      <c r="G252" s="11">
        <v>74</v>
      </c>
      <c r="H252" s="11">
        <v>4.8</v>
      </c>
      <c r="I252" s="11">
        <v>46</v>
      </c>
      <c r="J252" s="11">
        <v>69</v>
      </c>
      <c r="K252" s="11">
        <v>70</v>
      </c>
      <c r="L252" s="11">
        <v>69</v>
      </c>
      <c r="M252" s="11">
        <v>57</v>
      </c>
      <c r="N252" s="12">
        <f t="shared" si="12"/>
        <v>311</v>
      </c>
      <c r="O252" s="13">
        <f t="shared" si="13"/>
        <v>62.2</v>
      </c>
      <c r="P252" s="12" t="str">
        <f t="shared" si="14"/>
        <v>Improvement</v>
      </c>
      <c r="Q252" s="12" t="str">
        <f t="shared" si="15"/>
        <v>Good</v>
      </c>
    </row>
    <row r="253" spans="1:17">
      <c r="A253" s="11" t="s">
        <v>439</v>
      </c>
      <c r="B253" s="11" t="s">
        <v>165</v>
      </c>
      <c r="C253" s="11" t="s">
        <v>19</v>
      </c>
      <c r="D253" s="11">
        <v>19</v>
      </c>
      <c r="E253" s="11" t="s">
        <v>27</v>
      </c>
      <c r="F253" s="11" t="s">
        <v>35</v>
      </c>
      <c r="G253" s="11">
        <v>85</v>
      </c>
      <c r="H253" s="11">
        <v>3.2</v>
      </c>
      <c r="I253" s="11">
        <v>52</v>
      </c>
      <c r="J253" s="11">
        <v>60</v>
      </c>
      <c r="K253" s="11">
        <v>42</v>
      </c>
      <c r="L253" s="11">
        <v>56</v>
      </c>
      <c r="M253" s="11">
        <v>54</v>
      </c>
      <c r="N253" s="12">
        <f t="shared" si="12"/>
        <v>264</v>
      </c>
      <c r="O253" s="13">
        <f t="shared" si="13"/>
        <v>52.8</v>
      </c>
      <c r="P253" s="12" t="str">
        <f t="shared" si="14"/>
        <v>Improvement</v>
      </c>
      <c r="Q253" s="12" t="str">
        <f t="shared" si="15"/>
        <v>Bad</v>
      </c>
    </row>
    <row r="254" spans="1:17">
      <c r="A254" s="11" t="s">
        <v>440</v>
      </c>
      <c r="B254" s="11" t="s">
        <v>315</v>
      </c>
      <c r="C254" s="11" t="s">
        <v>30</v>
      </c>
      <c r="D254" s="11">
        <v>22</v>
      </c>
      <c r="E254" s="11" t="s">
        <v>38</v>
      </c>
      <c r="F254" s="11" t="s">
        <v>52</v>
      </c>
      <c r="G254" s="11">
        <v>67</v>
      </c>
      <c r="H254" s="11">
        <v>3</v>
      </c>
      <c r="I254" s="11">
        <v>60</v>
      </c>
      <c r="J254" s="11">
        <v>58</v>
      </c>
      <c r="K254" s="11">
        <v>49</v>
      </c>
      <c r="L254" s="11">
        <v>78</v>
      </c>
      <c r="M254" s="11">
        <v>71</v>
      </c>
      <c r="N254" s="12">
        <f t="shared" si="12"/>
        <v>316</v>
      </c>
      <c r="O254" s="13">
        <f t="shared" si="13"/>
        <v>63.2</v>
      </c>
      <c r="P254" s="12" t="str">
        <f t="shared" si="14"/>
        <v>Improvement</v>
      </c>
      <c r="Q254" s="12" t="str">
        <f t="shared" si="15"/>
        <v>Good</v>
      </c>
    </row>
    <row r="255" spans="1:17">
      <c r="A255" s="11" t="s">
        <v>441</v>
      </c>
      <c r="B255" s="11" t="s">
        <v>104</v>
      </c>
      <c r="C255" s="11" t="s">
        <v>30</v>
      </c>
      <c r="D255" s="11">
        <v>21</v>
      </c>
      <c r="E255" s="11" t="s">
        <v>48</v>
      </c>
      <c r="F255" s="11" t="s">
        <v>35</v>
      </c>
      <c r="G255" s="11">
        <v>79</v>
      </c>
      <c r="H255" s="11">
        <v>3.6</v>
      </c>
      <c r="I255" s="11">
        <v>81</v>
      </c>
      <c r="J255" s="11">
        <v>64</v>
      </c>
      <c r="K255" s="11">
        <v>56</v>
      </c>
      <c r="L255" s="11">
        <v>64</v>
      </c>
      <c r="M255" s="11">
        <v>52</v>
      </c>
      <c r="N255" s="12">
        <f t="shared" si="12"/>
        <v>317</v>
      </c>
      <c r="O255" s="13">
        <f t="shared" si="13"/>
        <v>63.4</v>
      </c>
      <c r="P255" s="12" t="str">
        <f t="shared" si="14"/>
        <v>Improvement</v>
      </c>
      <c r="Q255" s="12" t="str">
        <f t="shared" si="15"/>
        <v>Good</v>
      </c>
    </row>
    <row r="256" spans="1:17">
      <c r="A256" s="11" t="s">
        <v>442</v>
      </c>
      <c r="B256" s="11" t="s">
        <v>271</v>
      </c>
      <c r="C256" s="11" t="s">
        <v>30</v>
      </c>
      <c r="D256" s="11">
        <v>19</v>
      </c>
      <c r="E256" s="11" t="s">
        <v>34</v>
      </c>
      <c r="F256" s="11" t="s">
        <v>64</v>
      </c>
      <c r="G256" s="11">
        <v>91</v>
      </c>
      <c r="H256" s="11">
        <v>4.4</v>
      </c>
      <c r="I256" s="11">
        <v>69</v>
      </c>
      <c r="J256" s="11">
        <v>69</v>
      </c>
      <c r="K256" s="11">
        <v>65</v>
      </c>
      <c r="L256" s="11">
        <v>66</v>
      </c>
      <c r="M256" s="11">
        <v>81</v>
      </c>
      <c r="N256" s="12">
        <f t="shared" si="12"/>
        <v>350</v>
      </c>
      <c r="O256" s="13">
        <f t="shared" si="13"/>
        <v>70</v>
      </c>
      <c r="P256" s="12" t="str">
        <f t="shared" si="14"/>
        <v>Improvement</v>
      </c>
      <c r="Q256" s="12" t="str">
        <f t="shared" si="15"/>
        <v>Good</v>
      </c>
    </row>
    <row r="257" spans="1:17">
      <c r="A257" s="11" t="s">
        <v>443</v>
      </c>
      <c r="B257" s="11" t="s">
        <v>444</v>
      </c>
      <c r="C257" s="11" t="s">
        <v>30</v>
      </c>
      <c r="D257" s="11">
        <v>20</v>
      </c>
      <c r="E257" s="11" t="s">
        <v>27</v>
      </c>
      <c r="F257" s="11" t="s">
        <v>35</v>
      </c>
      <c r="G257" s="11">
        <v>91</v>
      </c>
      <c r="H257" s="11">
        <v>4.8</v>
      </c>
      <c r="I257" s="11">
        <v>72</v>
      </c>
      <c r="J257" s="11">
        <v>79</v>
      </c>
      <c r="K257" s="11">
        <v>69</v>
      </c>
      <c r="L257" s="11">
        <v>72</v>
      </c>
      <c r="M257" s="11">
        <v>82</v>
      </c>
      <c r="N257" s="12">
        <f t="shared" si="12"/>
        <v>374</v>
      </c>
      <c r="O257" s="13">
        <f t="shared" si="13"/>
        <v>74.8</v>
      </c>
      <c r="P257" s="12" t="str">
        <f t="shared" si="14"/>
        <v>Improvement</v>
      </c>
      <c r="Q257" s="12" t="str">
        <f t="shared" si="15"/>
        <v>Good</v>
      </c>
    </row>
    <row r="258" spans="1:17">
      <c r="A258" s="11" t="s">
        <v>445</v>
      </c>
      <c r="B258" s="11" t="s">
        <v>150</v>
      </c>
      <c r="C258" s="11" t="s">
        <v>30</v>
      </c>
      <c r="D258" s="11">
        <v>19</v>
      </c>
      <c r="E258" s="11" t="s">
        <v>24</v>
      </c>
      <c r="F258" s="11" t="s">
        <v>52</v>
      </c>
      <c r="G258" s="11">
        <v>82</v>
      </c>
      <c r="H258" s="11">
        <v>6.4</v>
      </c>
      <c r="I258" s="11">
        <v>63</v>
      </c>
      <c r="J258" s="11">
        <v>50</v>
      </c>
      <c r="K258" s="11">
        <v>56</v>
      </c>
      <c r="L258" s="11">
        <v>58</v>
      </c>
      <c r="M258" s="11">
        <v>58</v>
      </c>
      <c r="N258" s="12">
        <f t="shared" ref="N258:N321" si="16">SUM(I258:M258)</f>
        <v>285</v>
      </c>
      <c r="O258" s="13">
        <f t="shared" ref="O258:O321" si="17">AVERAGE(N258/5)</f>
        <v>57</v>
      </c>
      <c r="P258" s="12" t="str">
        <f t="shared" ref="P258:P321" si="18">IF(N258&gt;=400,"TopPerformer","Improvement")</f>
        <v>Improvement</v>
      </c>
      <c r="Q258" s="12" t="str">
        <f t="shared" ref="Q258:Q321" si="19">IF(N258&gt;=400,"Excellent",IF(N258&gt;=300,"Good",IF(N258&gt;=200,"Bad","Very Bad")))</f>
        <v>Bad</v>
      </c>
    </row>
    <row r="259" spans="1:17">
      <c r="A259" s="11" t="s">
        <v>446</v>
      </c>
      <c r="B259" s="11" t="s">
        <v>447</v>
      </c>
      <c r="C259" s="11" t="s">
        <v>19</v>
      </c>
      <c r="D259" s="11">
        <v>18</v>
      </c>
      <c r="E259" s="11" t="s">
        <v>38</v>
      </c>
      <c r="F259" s="11" t="s">
        <v>31</v>
      </c>
      <c r="G259" s="11">
        <v>68</v>
      </c>
      <c r="H259" s="11">
        <v>5</v>
      </c>
      <c r="I259" s="11">
        <v>78</v>
      </c>
      <c r="J259" s="11">
        <v>59</v>
      </c>
      <c r="K259" s="11">
        <v>74</v>
      </c>
      <c r="L259" s="11">
        <v>77</v>
      </c>
      <c r="M259" s="11">
        <v>63</v>
      </c>
      <c r="N259" s="12">
        <f t="shared" si="16"/>
        <v>351</v>
      </c>
      <c r="O259" s="13">
        <f t="shared" si="17"/>
        <v>70.2</v>
      </c>
      <c r="P259" s="12" t="str">
        <f t="shared" si="18"/>
        <v>Improvement</v>
      </c>
      <c r="Q259" s="12" t="str">
        <f t="shared" si="19"/>
        <v>Good</v>
      </c>
    </row>
    <row r="260" spans="1:17">
      <c r="A260" s="11" t="s">
        <v>448</v>
      </c>
      <c r="B260" s="11" t="s">
        <v>449</v>
      </c>
      <c r="C260" s="11" t="s">
        <v>30</v>
      </c>
      <c r="D260" s="11">
        <v>22</v>
      </c>
      <c r="E260" s="11" t="s">
        <v>38</v>
      </c>
      <c r="F260" s="11" t="s">
        <v>52</v>
      </c>
      <c r="G260" s="11">
        <v>99</v>
      </c>
      <c r="H260" s="11">
        <v>1.3</v>
      </c>
      <c r="I260" s="11">
        <v>68</v>
      </c>
      <c r="J260" s="11">
        <v>83</v>
      </c>
      <c r="K260" s="11">
        <v>83</v>
      </c>
      <c r="L260" s="11">
        <v>67</v>
      </c>
      <c r="M260" s="11">
        <v>79</v>
      </c>
      <c r="N260" s="12">
        <f t="shared" si="16"/>
        <v>380</v>
      </c>
      <c r="O260" s="13">
        <f t="shared" si="17"/>
        <v>76</v>
      </c>
      <c r="P260" s="12" t="str">
        <f t="shared" si="18"/>
        <v>Improvement</v>
      </c>
      <c r="Q260" s="12" t="str">
        <f t="shared" si="19"/>
        <v>Good</v>
      </c>
    </row>
    <row r="261" spans="1:17">
      <c r="A261" s="11" t="s">
        <v>450</v>
      </c>
      <c r="B261" s="11" t="s">
        <v>451</v>
      </c>
      <c r="C261" s="11" t="s">
        <v>19</v>
      </c>
      <c r="D261" s="11">
        <v>19</v>
      </c>
      <c r="E261" s="11" t="s">
        <v>27</v>
      </c>
      <c r="F261" s="11" t="s">
        <v>31</v>
      </c>
      <c r="G261" s="11">
        <v>92</v>
      </c>
      <c r="H261" s="11">
        <v>3.9</v>
      </c>
      <c r="I261" s="11">
        <v>74</v>
      </c>
      <c r="J261" s="11">
        <v>70</v>
      </c>
      <c r="K261" s="11">
        <v>72</v>
      </c>
      <c r="L261" s="11">
        <v>60</v>
      </c>
      <c r="M261" s="11">
        <v>57</v>
      </c>
      <c r="N261" s="12">
        <f t="shared" si="16"/>
        <v>333</v>
      </c>
      <c r="O261" s="13">
        <f t="shared" si="17"/>
        <v>66.6</v>
      </c>
      <c r="P261" s="12" t="str">
        <f t="shared" si="18"/>
        <v>Improvement</v>
      </c>
      <c r="Q261" s="12" t="str">
        <f t="shared" si="19"/>
        <v>Good</v>
      </c>
    </row>
    <row r="262" spans="1:17">
      <c r="A262" s="11" t="s">
        <v>452</v>
      </c>
      <c r="B262" s="11" t="s">
        <v>227</v>
      </c>
      <c r="C262" s="11" t="s">
        <v>30</v>
      </c>
      <c r="D262" s="11">
        <v>18</v>
      </c>
      <c r="E262" s="11" t="s">
        <v>24</v>
      </c>
      <c r="F262" s="11" t="s">
        <v>35</v>
      </c>
      <c r="G262" s="11">
        <v>90</v>
      </c>
      <c r="H262" s="11">
        <v>3.6</v>
      </c>
      <c r="I262" s="11">
        <v>86</v>
      </c>
      <c r="J262" s="11">
        <v>77</v>
      </c>
      <c r="K262" s="11">
        <v>69</v>
      </c>
      <c r="L262" s="11">
        <v>88</v>
      </c>
      <c r="M262" s="11">
        <v>75</v>
      </c>
      <c r="N262" s="12">
        <f t="shared" si="16"/>
        <v>395</v>
      </c>
      <c r="O262" s="13">
        <f t="shared" si="17"/>
        <v>79</v>
      </c>
      <c r="P262" s="12" t="str">
        <f t="shared" si="18"/>
        <v>Improvement</v>
      </c>
      <c r="Q262" s="12" t="str">
        <f t="shared" si="19"/>
        <v>Good</v>
      </c>
    </row>
    <row r="263" spans="1:17">
      <c r="A263" s="11" t="s">
        <v>453</v>
      </c>
      <c r="B263" s="11" t="s">
        <v>454</v>
      </c>
      <c r="C263" s="11" t="s">
        <v>30</v>
      </c>
      <c r="D263" s="11">
        <v>21</v>
      </c>
      <c r="E263" s="11" t="s">
        <v>48</v>
      </c>
      <c r="F263" s="11" t="s">
        <v>39</v>
      </c>
      <c r="G263" s="11">
        <v>68</v>
      </c>
      <c r="H263" s="11">
        <v>4.7</v>
      </c>
      <c r="I263" s="11">
        <v>84</v>
      </c>
      <c r="J263" s="11">
        <v>51</v>
      </c>
      <c r="K263" s="11">
        <v>49</v>
      </c>
      <c r="L263" s="11">
        <v>63</v>
      </c>
      <c r="M263" s="11">
        <v>72</v>
      </c>
      <c r="N263" s="12">
        <f t="shared" si="16"/>
        <v>319</v>
      </c>
      <c r="O263" s="13">
        <f t="shared" si="17"/>
        <v>63.8</v>
      </c>
      <c r="P263" s="12" t="str">
        <f t="shared" si="18"/>
        <v>Improvement</v>
      </c>
      <c r="Q263" s="12" t="str">
        <f t="shared" si="19"/>
        <v>Good</v>
      </c>
    </row>
    <row r="264" spans="1:17">
      <c r="A264" s="11" t="s">
        <v>455</v>
      </c>
      <c r="B264" s="11" t="s">
        <v>417</v>
      </c>
      <c r="C264" s="11" t="s">
        <v>30</v>
      </c>
      <c r="D264" s="11">
        <v>21</v>
      </c>
      <c r="E264" s="11" t="s">
        <v>48</v>
      </c>
      <c r="F264" s="11" t="s">
        <v>44</v>
      </c>
      <c r="G264" s="11">
        <v>75</v>
      </c>
      <c r="H264" s="11">
        <v>2.2</v>
      </c>
      <c r="I264" s="11">
        <v>44</v>
      </c>
      <c r="J264" s="11">
        <v>30</v>
      </c>
      <c r="K264" s="11">
        <v>32</v>
      </c>
      <c r="L264" s="11">
        <v>39</v>
      </c>
      <c r="M264" s="11">
        <v>36</v>
      </c>
      <c r="N264" s="12">
        <f t="shared" si="16"/>
        <v>181</v>
      </c>
      <c r="O264" s="13">
        <f t="shared" si="17"/>
        <v>36.2</v>
      </c>
      <c r="P264" s="12" t="str">
        <f t="shared" si="18"/>
        <v>Improvement</v>
      </c>
      <c r="Q264" s="12" t="str">
        <f t="shared" si="19"/>
        <v>Very Bad</v>
      </c>
    </row>
    <row r="265" spans="1:17">
      <c r="A265" s="11" t="s">
        <v>456</v>
      </c>
      <c r="B265" s="11" t="s">
        <v>457</v>
      </c>
      <c r="C265" s="11" t="s">
        <v>30</v>
      </c>
      <c r="D265" s="11">
        <v>18</v>
      </c>
      <c r="E265" s="11" t="s">
        <v>20</v>
      </c>
      <c r="F265" s="11" t="s">
        <v>105</v>
      </c>
      <c r="G265" s="11">
        <v>88</v>
      </c>
      <c r="H265" s="11">
        <v>5.5</v>
      </c>
      <c r="I265" s="11">
        <v>75</v>
      </c>
      <c r="J265" s="11">
        <v>76</v>
      </c>
      <c r="K265" s="11">
        <v>73</v>
      </c>
      <c r="L265" s="11">
        <v>69</v>
      </c>
      <c r="M265" s="11">
        <v>70</v>
      </c>
      <c r="N265" s="12">
        <f t="shared" si="16"/>
        <v>363</v>
      </c>
      <c r="O265" s="13">
        <f t="shared" si="17"/>
        <v>72.6</v>
      </c>
      <c r="P265" s="12" t="str">
        <f t="shared" si="18"/>
        <v>Improvement</v>
      </c>
      <c r="Q265" s="12" t="str">
        <f t="shared" si="19"/>
        <v>Good</v>
      </c>
    </row>
    <row r="266" spans="1:17">
      <c r="A266" s="11" t="s">
        <v>458</v>
      </c>
      <c r="B266" s="11" t="s">
        <v>310</v>
      </c>
      <c r="C266" s="11" t="s">
        <v>19</v>
      </c>
      <c r="D266" s="11">
        <v>20</v>
      </c>
      <c r="E266" s="11" t="s">
        <v>38</v>
      </c>
      <c r="F266" s="11" t="s">
        <v>39</v>
      </c>
      <c r="G266" s="11">
        <v>76</v>
      </c>
      <c r="H266" s="11">
        <v>2.8</v>
      </c>
      <c r="I266" s="11">
        <v>58</v>
      </c>
      <c r="J266" s="11">
        <v>51</v>
      </c>
      <c r="K266" s="11">
        <v>44</v>
      </c>
      <c r="L266" s="11">
        <v>57</v>
      </c>
      <c r="M266" s="11">
        <v>46</v>
      </c>
      <c r="N266" s="12">
        <f t="shared" si="16"/>
        <v>256</v>
      </c>
      <c r="O266" s="13">
        <f t="shared" si="17"/>
        <v>51.2</v>
      </c>
      <c r="P266" s="12" t="str">
        <f t="shared" si="18"/>
        <v>Improvement</v>
      </c>
      <c r="Q266" s="12" t="str">
        <f t="shared" si="19"/>
        <v>Bad</v>
      </c>
    </row>
    <row r="267" spans="1:17">
      <c r="A267" s="11" t="s">
        <v>459</v>
      </c>
      <c r="B267" s="11" t="s">
        <v>87</v>
      </c>
      <c r="C267" s="11" t="s">
        <v>19</v>
      </c>
      <c r="D267" s="11">
        <v>19</v>
      </c>
      <c r="E267" s="11" t="s">
        <v>34</v>
      </c>
      <c r="F267" s="11" t="s">
        <v>44</v>
      </c>
      <c r="G267" s="11">
        <v>78</v>
      </c>
      <c r="H267" s="11">
        <v>3.9</v>
      </c>
      <c r="I267" s="11">
        <v>72</v>
      </c>
      <c r="J267" s="11">
        <v>62</v>
      </c>
      <c r="K267" s="11">
        <v>76</v>
      </c>
      <c r="L267" s="11">
        <v>68</v>
      </c>
      <c r="M267" s="11">
        <v>87</v>
      </c>
      <c r="N267" s="12">
        <f t="shared" si="16"/>
        <v>365</v>
      </c>
      <c r="O267" s="13">
        <f t="shared" si="17"/>
        <v>73</v>
      </c>
      <c r="P267" s="12" t="str">
        <f t="shared" si="18"/>
        <v>Improvement</v>
      </c>
      <c r="Q267" s="12" t="str">
        <f t="shared" si="19"/>
        <v>Good</v>
      </c>
    </row>
    <row r="268" spans="1:17">
      <c r="A268" s="11" t="s">
        <v>460</v>
      </c>
      <c r="B268" s="11" t="s">
        <v>461</v>
      </c>
      <c r="C268" s="11" t="s">
        <v>30</v>
      </c>
      <c r="D268" s="11">
        <v>22</v>
      </c>
      <c r="E268" s="11" t="s">
        <v>24</v>
      </c>
      <c r="F268" s="11" t="s">
        <v>105</v>
      </c>
      <c r="G268" s="11">
        <v>99</v>
      </c>
      <c r="H268" s="11">
        <v>6.2</v>
      </c>
      <c r="I268" s="11">
        <v>82</v>
      </c>
      <c r="J268" s="11">
        <v>98</v>
      </c>
      <c r="K268" s="11">
        <v>85</v>
      </c>
      <c r="L268" s="11">
        <v>92</v>
      </c>
      <c r="M268" s="11">
        <v>80</v>
      </c>
      <c r="N268" s="12">
        <f t="shared" si="16"/>
        <v>437</v>
      </c>
      <c r="O268" s="13">
        <f t="shared" si="17"/>
        <v>87.4</v>
      </c>
      <c r="P268" s="12" t="str">
        <f t="shared" si="18"/>
        <v>TopPerformer</v>
      </c>
      <c r="Q268" s="12" t="str">
        <f t="shared" si="19"/>
        <v>Excellent</v>
      </c>
    </row>
    <row r="269" spans="1:17">
      <c r="A269" s="11" t="s">
        <v>462</v>
      </c>
      <c r="B269" s="11" t="s">
        <v>43</v>
      </c>
      <c r="C269" s="11" t="s">
        <v>30</v>
      </c>
      <c r="D269" s="11">
        <v>18</v>
      </c>
      <c r="E269" s="11" t="s">
        <v>48</v>
      </c>
      <c r="F269" s="11" t="s">
        <v>105</v>
      </c>
      <c r="G269" s="11">
        <v>89</v>
      </c>
      <c r="H269" s="11">
        <v>4.2</v>
      </c>
      <c r="I269" s="11">
        <v>55</v>
      </c>
      <c r="J269" s="11">
        <v>52</v>
      </c>
      <c r="K269" s="11">
        <v>65</v>
      </c>
      <c r="L269" s="11">
        <v>67</v>
      </c>
      <c r="M269" s="11">
        <v>66</v>
      </c>
      <c r="N269" s="12">
        <f t="shared" si="16"/>
        <v>305</v>
      </c>
      <c r="O269" s="13">
        <f t="shared" si="17"/>
        <v>61</v>
      </c>
      <c r="P269" s="12" t="str">
        <f t="shared" si="18"/>
        <v>Improvement</v>
      </c>
      <c r="Q269" s="12" t="str">
        <f t="shared" si="19"/>
        <v>Good</v>
      </c>
    </row>
    <row r="270" spans="1:17">
      <c r="A270" s="11" t="s">
        <v>463</v>
      </c>
      <c r="B270" s="11" t="s">
        <v>148</v>
      </c>
      <c r="C270" s="11" t="s">
        <v>30</v>
      </c>
      <c r="D270" s="11">
        <v>19</v>
      </c>
      <c r="E270" s="11" t="s">
        <v>34</v>
      </c>
      <c r="F270" s="11" t="s">
        <v>35</v>
      </c>
      <c r="G270" s="11">
        <v>94</v>
      </c>
      <c r="H270" s="11">
        <v>3.2</v>
      </c>
      <c r="I270" s="11">
        <v>72</v>
      </c>
      <c r="J270" s="11">
        <v>69</v>
      </c>
      <c r="K270" s="11">
        <v>59</v>
      </c>
      <c r="L270" s="11">
        <v>57</v>
      </c>
      <c r="M270" s="11">
        <v>58</v>
      </c>
      <c r="N270" s="12">
        <f t="shared" si="16"/>
        <v>315</v>
      </c>
      <c r="O270" s="13">
        <f t="shared" si="17"/>
        <v>63</v>
      </c>
      <c r="P270" s="12" t="str">
        <f t="shared" si="18"/>
        <v>Improvement</v>
      </c>
      <c r="Q270" s="12" t="str">
        <f t="shared" si="19"/>
        <v>Good</v>
      </c>
    </row>
    <row r="271" spans="1:17">
      <c r="A271" s="11" t="s">
        <v>464</v>
      </c>
      <c r="B271" s="11" t="s">
        <v>438</v>
      </c>
      <c r="C271" s="11" t="s">
        <v>19</v>
      </c>
      <c r="D271" s="11">
        <v>20</v>
      </c>
      <c r="E271" s="11" t="s">
        <v>48</v>
      </c>
      <c r="F271" s="11" t="s">
        <v>105</v>
      </c>
      <c r="G271" s="11">
        <v>88</v>
      </c>
      <c r="H271" s="11">
        <v>5.6</v>
      </c>
      <c r="I271" s="11">
        <v>71</v>
      </c>
      <c r="J271" s="11">
        <v>62</v>
      </c>
      <c r="K271" s="11">
        <v>44</v>
      </c>
      <c r="L271" s="11">
        <v>48</v>
      </c>
      <c r="M271" s="11">
        <v>56</v>
      </c>
      <c r="N271" s="12">
        <f t="shared" si="16"/>
        <v>281</v>
      </c>
      <c r="O271" s="13">
        <f t="shared" si="17"/>
        <v>56.2</v>
      </c>
      <c r="P271" s="12" t="str">
        <f t="shared" si="18"/>
        <v>Improvement</v>
      </c>
      <c r="Q271" s="12" t="str">
        <f t="shared" si="19"/>
        <v>Bad</v>
      </c>
    </row>
    <row r="272" spans="1:17">
      <c r="A272" s="11" t="s">
        <v>465</v>
      </c>
      <c r="B272" s="11" t="s">
        <v>236</v>
      </c>
      <c r="C272" s="11" t="s">
        <v>19</v>
      </c>
      <c r="D272" s="11">
        <v>19</v>
      </c>
      <c r="E272" s="11" t="s">
        <v>38</v>
      </c>
      <c r="F272" s="11" t="s">
        <v>105</v>
      </c>
      <c r="G272" s="11">
        <v>99</v>
      </c>
      <c r="H272" s="11">
        <v>1.9</v>
      </c>
      <c r="I272" s="11">
        <v>63</v>
      </c>
      <c r="J272" s="11">
        <v>54</v>
      </c>
      <c r="K272" s="11">
        <v>60</v>
      </c>
      <c r="L272" s="11">
        <v>47</v>
      </c>
      <c r="M272" s="11">
        <v>71</v>
      </c>
      <c r="N272" s="12">
        <f t="shared" si="16"/>
        <v>295</v>
      </c>
      <c r="O272" s="13">
        <f t="shared" si="17"/>
        <v>59</v>
      </c>
      <c r="P272" s="12" t="str">
        <f t="shared" si="18"/>
        <v>Improvement</v>
      </c>
      <c r="Q272" s="12" t="str">
        <f t="shared" si="19"/>
        <v>Bad</v>
      </c>
    </row>
    <row r="273" spans="1:17">
      <c r="A273" s="11" t="s">
        <v>466</v>
      </c>
      <c r="B273" s="11" t="s">
        <v>467</v>
      </c>
      <c r="C273" s="11" t="s">
        <v>19</v>
      </c>
      <c r="D273" s="11">
        <v>22</v>
      </c>
      <c r="E273" s="11" t="s">
        <v>24</v>
      </c>
      <c r="F273" s="11" t="s">
        <v>39</v>
      </c>
      <c r="G273" s="11">
        <v>91</v>
      </c>
      <c r="H273" s="11">
        <v>3.7</v>
      </c>
      <c r="I273" s="11">
        <v>61</v>
      </c>
      <c r="J273" s="11">
        <v>67</v>
      </c>
      <c r="K273" s="11">
        <v>68</v>
      </c>
      <c r="L273" s="11">
        <v>59</v>
      </c>
      <c r="M273" s="11">
        <v>65</v>
      </c>
      <c r="N273" s="12">
        <f t="shared" si="16"/>
        <v>320</v>
      </c>
      <c r="O273" s="13">
        <f t="shared" si="17"/>
        <v>64</v>
      </c>
      <c r="P273" s="12" t="str">
        <f t="shared" si="18"/>
        <v>Improvement</v>
      </c>
      <c r="Q273" s="12" t="str">
        <f t="shared" si="19"/>
        <v>Good</v>
      </c>
    </row>
    <row r="274" spans="1:17">
      <c r="A274" s="11" t="s">
        <v>468</v>
      </c>
      <c r="B274" s="11" t="s">
        <v>469</v>
      </c>
      <c r="C274" s="11" t="s">
        <v>30</v>
      </c>
      <c r="D274" s="11">
        <v>19</v>
      </c>
      <c r="E274" s="11" t="s">
        <v>34</v>
      </c>
      <c r="F274" s="11" t="s">
        <v>52</v>
      </c>
      <c r="G274" s="11">
        <v>95</v>
      </c>
      <c r="H274" s="11">
        <v>3.5</v>
      </c>
      <c r="I274" s="11">
        <v>57</v>
      </c>
      <c r="J274" s="11">
        <v>64</v>
      </c>
      <c r="K274" s="11">
        <v>69</v>
      </c>
      <c r="L274" s="11">
        <v>80</v>
      </c>
      <c r="M274" s="11">
        <v>69</v>
      </c>
      <c r="N274" s="12">
        <f t="shared" si="16"/>
        <v>339</v>
      </c>
      <c r="O274" s="13">
        <f t="shared" si="17"/>
        <v>67.8</v>
      </c>
      <c r="P274" s="12" t="str">
        <f t="shared" si="18"/>
        <v>Improvement</v>
      </c>
      <c r="Q274" s="12" t="str">
        <f t="shared" si="19"/>
        <v>Good</v>
      </c>
    </row>
    <row r="275" spans="1:17">
      <c r="A275" s="11" t="s">
        <v>470</v>
      </c>
      <c r="B275" s="11" t="s">
        <v>471</v>
      </c>
      <c r="C275" s="11" t="s">
        <v>19</v>
      </c>
      <c r="D275" s="11">
        <v>18</v>
      </c>
      <c r="E275" s="11" t="s">
        <v>20</v>
      </c>
      <c r="F275" s="11" t="s">
        <v>31</v>
      </c>
      <c r="G275" s="11">
        <v>81</v>
      </c>
      <c r="H275" s="11">
        <v>7.4</v>
      </c>
      <c r="I275" s="11">
        <v>69</v>
      </c>
      <c r="J275" s="11">
        <v>65</v>
      </c>
      <c r="K275" s="11">
        <v>94</v>
      </c>
      <c r="L275" s="11">
        <v>82</v>
      </c>
      <c r="M275" s="11">
        <v>72</v>
      </c>
      <c r="N275" s="12">
        <f t="shared" si="16"/>
        <v>382</v>
      </c>
      <c r="O275" s="13">
        <f t="shared" si="17"/>
        <v>76.4</v>
      </c>
      <c r="P275" s="12" t="str">
        <f t="shared" si="18"/>
        <v>Improvement</v>
      </c>
      <c r="Q275" s="12" t="str">
        <f t="shared" si="19"/>
        <v>Good</v>
      </c>
    </row>
    <row r="276" spans="1:17">
      <c r="A276" s="11" t="s">
        <v>472</v>
      </c>
      <c r="B276" s="11" t="s">
        <v>140</v>
      </c>
      <c r="C276" s="11" t="s">
        <v>30</v>
      </c>
      <c r="D276" s="11">
        <v>20</v>
      </c>
      <c r="E276" s="11" t="s">
        <v>48</v>
      </c>
      <c r="F276" s="11" t="s">
        <v>35</v>
      </c>
      <c r="G276" s="11">
        <v>68</v>
      </c>
      <c r="H276" s="11">
        <v>3.4</v>
      </c>
      <c r="I276" s="11">
        <v>41</v>
      </c>
      <c r="J276" s="11">
        <v>65</v>
      </c>
      <c r="K276" s="11">
        <v>54</v>
      </c>
      <c r="L276" s="11">
        <v>62</v>
      </c>
      <c r="M276" s="11">
        <v>75</v>
      </c>
      <c r="N276" s="12">
        <f t="shared" si="16"/>
        <v>297</v>
      </c>
      <c r="O276" s="13">
        <f t="shared" si="17"/>
        <v>59.4</v>
      </c>
      <c r="P276" s="12" t="str">
        <f t="shared" si="18"/>
        <v>Improvement</v>
      </c>
      <c r="Q276" s="12" t="str">
        <f t="shared" si="19"/>
        <v>Bad</v>
      </c>
    </row>
    <row r="277" spans="1:17">
      <c r="A277" s="11" t="s">
        <v>473</v>
      </c>
      <c r="B277" s="11" t="s">
        <v>158</v>
      </c>
      <c r="C277" s="11" t="s">
        <v>19</v>
      </c>
      <c r="D277" s="11">
        <v>22</v>
      </c>
      <c r="E277" s="11" t="s">
        <v>48</v>
      </c>
      <c r="F277" s="11" t="s">
        <v>21</v>
      </c>
      <c r="G277" s="11">
        <v>90</v>
      </c>
      <c r="H277" s="11">
        <v>2.9</v>
      </c>
      <c r="I277" s="11">
        <v>66</v>
      </c>
      <c r="J277" s="11">
        <v>61</v>
      </c>
      <c r="K277" s="11">
        <v>42</v>
      </c>
      <c r="L277" s="11">
        <v>48</v>
      </c>
      <c r="M277" s="11">
        <v>70</v>
      </c>
      <c r="N277" s="12">
        <f t="shared" si="16"/>
        <v>287</v>
      </c>
      <c r="O277" s="13">
        <f t="shared" si="17"/>
        <v>57.4</v>
      </c>
      <c r="P277" s="12" t="str">
        <f t="shared" si="18"/>
        <v>Improvement</v>
      </c>
      <c r="Q277" s="12" t="str">
        <f t="shared" si="19"/>
        <v>Bad</v>
      </c>
    </row>
    <row r="278" spans="1:17">
      <c r="A278" s="11" t="s">
        <v>474</v>
      </c>
      <c r="B278" s="11" t="s">
        <v>165</v>
      </c>
      <c r="C278" s="11" t="s">
        <v>30</v>
      </c>
      <c r="D278" s="11">
        <v>19</v>
      </c>
      <c r="E278" s="11" t="s">
        <v>38</v>
      </c>
      <c r="F278" s="11" t="s">
        <v>44</v>
      </c>
      <c r="G278" s="11">
        <v>82</v>
      </c>
      <c r="H278" s="11">
        <v>4.9</v>
      </c>
      <c r="I278" s="11">
        <v>52</v>
      </c>
      <c r="J278" s="11">
        <v>61</v>
      </c>
      <c r="K278" s="11">
        <v>58</v>
      </c>
      <c r="L278" s="11">
        <v>64</v>
      </c>
      <c r="M278" s="11">
        <v>49</v>
      </c>
      <c r="N278" s="12">
        <f t="shared" si="16"/>
        <v>284</v>
      </c>
      <c r="O278" s="13">
        <f t="shared" si="17"/>
        <v>56.8</v>
      </c>
      <c r="P278" s="12" t="str">
        <f t="shared" si="18"/>
        <v>Improvement</v>
      </c>
      <c r="Q278" s="12" t="str">
        <f t="shared" si="19"/>
        <v>Bad</v>
      </c>
    </row>
    <row r="279" spans="1:17">
      <c r="A279" s="11" t="s">
        <v>475</v>
      </c>
      <c r="B279" s="11" t="s">
        <v>476</v>
      </c>
      <c r="C279" s="11" t="s">
        <v>30</v>
      </c>
      <c r="D279" s="11">
        <v>18</v>
      </c>
      <c r="E279" s="11" t="s">
        <v>34</v>
      </c>
      <c r="F279" s="11" t="s">
        <v>52</v>
      </c>
      <c r="G279" s="11">
        <v>83</v>
      </c>
      <c r="H279" s="11">
        <v>3.7</v>
      </c>
      <c r="I279" s="11">
        <v>58</v>
      </c>
      <c r="J279" s="11">
        <v>68</v>
      </c>
      <c r="K279" s="11">
        <v>57</v>
      </c>
      <c r="L279" s="11">
        <v>51</v>
      </c>
      <c r="M279" s="11">
        <v>54</v>
      </c>
      <c r="N279" s="12">
        <f t="shared" si="16"/>
        <v>288</v>
      </c>
      <c r="O279" s="13">
        <f t="shared" si="17"/>
        <v>57.6</v>
      </c>
      <c r="P279" s="12" t="str">
        <f t="shared" si="18"/>
        <v>Improvement</v>
      </c>
      <c r="Q279" s="12" t="str">
        <f t="shared" si="19"/>
        <v>Bad</v>
      </c>
    </row>
    <row r="280" spans="1:17">
      <c r="A280" s="11" t="s">
        <v>477</v>
      </c>
      <c r="B280" s="11" t="s">
        <v>63</v>
      </c>
      <c r="C280" s="11" t="s">
        <v>30</v>
      </c>
      <c r="D280" s="11">
        <v>21</v>
      </c>
      <c r="E280" s="11" t="s">
        <v>34</v>
      </c>
      <c r="F280" s="11" t="s">
        <v>31</v>
      </c>
      <c r="G280" s="11">
        <v>86</v>
      </c>
      <c r="H280" s="11">
        <v>5.1</v>
      </c>
      <c r="I280" s="11">
        <v>88</v>
      </c>
      <c r="J280" s="11">
        <v>73</v>
      </c>
      <c r="K280" s="11">
        <v>73</v>
      </c>
      <c r="L280" s="11">
        <v>80</v>
      </c>
      <c r="M280" s="11">
        <v>77</v>
      </c>
      <c r="N280" s="12">
        <f t="shared" si="16"/>
        <v>391</v>
      </c>
      <c r="O280" s="13">
        <f t="shared" si="17"/>
        <v>78.2</v>
      </c>
      <c r="P280" s="12" t="str">
        <f t="shared" si="18"/>
        <v>Improvement</v>
      </c>
      <c r="Q280" s="12" t="str">
        <f t="shared" si="19"/>
        <v>Good</v>
      </c>
    </row>
    <row r="281" spans="1:17">
      <c r="A281" s="11" t="s">
        <v>478</v>
      </c>
      <c r="B281" s="11" t="s">
        <v>116</v>
      </c>
      <c r="C281" s="11" t="s">
        <v>30</v>
      </c>
      <c r="D281" s="11">
        <v>19</v>
      </c>
      <c r="E281" s="11" t="s">
        <v>20</v>
      </c>
      <c r="F281" s="11" t="s">
        <v>52</v>
      </c>
      <c r="G281" s="11">
        <v>75</v>
      </c>
      <c r="H281" s="11">
        <v>3.3</v>
      </c>
      <c r="I281" s="11">
        <v>71</v>
      </c>
      <c r="J281" s="11">
        <v>89</v>
      </c>
      <c r="K281" s="11">
        <v>70</v>
      </c>
      <c r="L281" s="11">
        <v>67</v>
      </c>
      <c r="M281" s="11">
        <v>69</v>
      </c>
      <c r="N281" s="12">
        <f t="shared" si="16"/>
        <v>366</v>
      </c>
      <c r="O281" s="13">
        <f t="shared" si="17"/>
        <v>73.2</v>
      </c>
      <c r="P281" s="12" t="str">
        <f t="shared" si="18"/>
        <v>Improvement</v>
      </c>
      <c r="Q281" s="12" t="str">
        <f t="shared" si="19"/>
        <v>Good</v>
      </c>
    </row>
    <row r="282" spans="1:17">
      <c r="A282" s="11" t="s">
        <v>479</v>
      </c>
      <c r="B282" s="11" t="s">
        <v>163</v>
      </c>
      <c r="C282" s="11" t="s">
        <v>19</v>
      </c>
      <c r="D282" s="11">
        <v>20</v>
      </c>
      <c r="E282" s="11" t="s">
        <v>34</v>
      </c>
      <c r="F282" s="11" t="s">
        <v>52</v>
      </c>
      <c r="G282" s="11">
        <v>74</v>
      </c>
      <c r="H282" s="11">
        <v>5.1</v>
      </c>
      <c r="I282" s="11">
        <v>57</v>
      </c>
      <c r="J282" s="11">
        <v>75</v>
      </c>
      <c r="K282" s="11">
        <v>79</v>
      </c>
      <c r="L282" s="11">
        <v>62</v>
      </c>
      <c r="M282" s="11">
        <v>69</v>
      </c>
      <c r="N282" s="12">
        <f t="shared" si="16"/>
        <v>342</v>
      </c>
      <c r="O282" s="13">
        <f t="shared" si="17"/>
        <v>68.4</v>
      </c>
      <c r="P282" s="12" t="str">
        <f t="shared" si="18"/>
        <v>Improvement</v>
      </c>
      <c r="Q282" s="12" t="str">
        <f t="shared" si="19"/>
        <v>Good</v>
      </c>
    </row>
    <row r="283" spans="1:17">
      <c r="A283" s="11" t="s">
        <v>480</v>
      </c>
      <c r="B283" s="11" t="s">
        <v>61</v>
      </c>
      <c r="C283" s="11" t="s">
        <v>19</v>
      </c>
      <c r="D283" s="11">
        <v>22</v>
      </c>
      <c r="E283" s="11" t="s">
        <v>20</v>
      </c>
      <c r="F283" s="11" t="s">
        <v>39</v>
      </c>
      <c r="G283" s="11">
        <v>77</v>
      </c>
      <c r="H283" s="11">
        <v>2.1</v>
      </c>
      <c r="I283" s="11">
        <v>54</v>
      </c>
      <c r="J283" s="11">
        <v>54</v>
      </c>
      <c r="K283" s="11">
        <v>64</v>
      </c>
      <c r="L283" s="11">
        <v>49</v>
      </c>
      <c r="M283" s="11">
        <v>51</v>
      </c>
      <c r="N283" s="12">
        <f t="shared" si="16"/>
        <v>272</v>
      </c>
      <c r="O283" s="13">
        <f t="shared" si="17"/>
        <v>54.4</v>
      </c>
      <c r="P283" s="12" t="str">
        <f t="shared" si="18"/>
        <v>Improvement</v>
      </c>
      <c r="Q283" s="12" t="str">
        <f t="shared" si="19"/>
        <v>Bad</v>
      </c>
    </row>
    <row r="284" spans="1:17">
      <c r="A284" s="11" t="s">
        <v>481</v>
      </c>
      <c r="B284" s="11" t="s">
        <v>482</v>
      </c>
      <c r="C284" s="11" t="s">
        <v>30</v>
      </c>
      <c r="D284" s="11">
        <v>18</v>
      </c>
      <c r="E284" s="11" t="s">
        <v>48</v>
      </c>
      <c r="F284" s="11" t="s">
        <v>64</v>
      </c>
      <c r="G284" s="11">
        <v>76</v>
      </c>
      <c r="H284" s="11">
        <v>5.2</v>
      </c>
      <c r="I284" s="11">
        <v>78</v>
      </c>
      <c r="J284" s="11">
        <v>54</v>
      </c>
      <c r="K284" s="11">
        <v>74</v>
      </c>
      <c r="L284" s="11">
        <v>58</v>
      </c>
      <c r="M284" s="11">
        <v>79</v>
      </c>
      <c r="N284" s="12">
        <f t="shared" si="16"/>
        <v>343</v>
      </c>
      <c r="O284" s="13">
        <f t="shared" si="17"/>
        <v>68.6</v>
      </c>
      <c r="P284" s="12" t="str">
        <f t="shared" si="18"/>
        <v>Improvement</v>
      </c>
      <c r="Q284" s="12" t="str">
        <f t="shared" si="19"/>
        <v>Good</v>
      </c>
    </row>
    <row r="285" spans="1:17">
      <c r="A285" s="11" t="s">
        <v>483</v>
      </c>
      <c r="B285" s="11" t="s">
        <v>256</v>
      </c>
      <c r="C285" s="11" t="s">
        <v>30</v>
      </c>
      <c r="D285" s="11">
        <v>19</v>
      </c>
      <c r="E285" s="11" t="s">
        <v>48</v>
      </c>
      <c r="F285" s="11" t="s">
        <v>39</v>
      </c>
      <c r="G285" s="11">
        <v>89</v>
      </c>
      <c r="H285" s="11">
        <v>5.4</v>
      </c>
      <c r="I285" s="11">
        <v>72</v>
      </c>
      <c r="J285" s="11">
        <v>78</v>
      </c>
      <c r="K285" s="11">
        <v>73</v>
      </c>
      <c r="L285" s="11">
        <v>61</v>
      </c>
      <c r="M285" s="11">
        <v>65</v>
      </c>
      <c r="N285" s="12">
        <f t="shared" si="16"/>
        <v>349</v>
      </c>
      <c r="O285" s="13">
        <f t="shared" si="17"/>
        <v>69.8</v>
      </c>
      <c r="P285" s="12" t="str">
        <f t="shared" si="18"/>
        <v>Improvement</v>
      </c>
      <c r="Q285" s="12" t="str">
        <f t="shared" si="19"/>
        <v>Good</v>
      </c>
    </row>
    <row r="286" spans="1:17">
      <c r="A286" s="11" t="s">
        <v>484</v>
      </c>
      <c r="B286" s="11" t="s">
        <v>485</v>
      </c>
      <c r="C286" s="11" t="s">
        <v>19</v>
      </c>
      <c r="D286" s="11">
        <v>22</v>
      </c>
      <c r="E286" s="11" t="s">
        <v>38</v>
      </c>
      <c r="F286" s="11" t="s">
        <v>35</v>
      </c>
      <c r="G286" s="11">
        <v>89</v>
      </c>
      <c r="H286" s="11">
        <v>4.2</v>
      </c>
      <c r="I286" s="11">
        <v>67</v>
      </c>
      <c r="J286" s="11">
        <v>71</v>
      </c>
      <c r="K286" s="11">
        <v>66</v>
      </c>
      <c r="L286" s="11">
        <v>63</v>
      </c>
      <c r="M286" s="11">
        <v>75</v>
      </c>
      <c r="N286" s="12">
        <f t="shared" si="16"/>
        <v>342</v>
      </c>
      <c r="O286" s="13">
        <f t="shared" si="17"/>
        <v>68.4</v>
      </c>
      <c r="P286" s="12" t="str">
        <f t="shared" si="18"/>
        <v>Improvement</v>
      </c>
      <c r="Q286" s="12" t="str">
        <f t="shared" si="19"/>
        <v>Good</v>
      </c>
    </row>
    <row r="287" spans="1:17">
      <c r="A287" s="11" t="s">
        <v>486</v>
      </c>
      <c r="B287" s="11" t="s">
        <v>130</v>
      </c>
      <c r="C287" s="11" t="s">
        <v>30</v>
      </c>
      <c r="D287" s="11">
        <v>20</v>
      </c>
      <c r="E287" s="11" t="s">
        <v>24</v>
      </c>
      <c r="F287" s="11" t="s">
        <v>39</v>
      </c>
      <c r="G287" s="11">
        <v>84</v>
      </c>
      <c r="H287" s="11">
        <v>4.6</v>
      </c>
      <c r="I287" s="11">
        <v>71</v>
      </c>
      <c r="J287" s="11">
        <v>62</v>
      </c>
      <c r="K287" s="11">
        <v>71</v>
      </c>
      <c r="L287" s="11">
        <v>73</v>
      </c>
      <c r="M287" s="11">
        <v>62</v>
      </c>
      <c r="N287" s="12">
        <f t="shared" si="16"/>
        <v>339</v>
      </c>
      <c r="O287" s="13">
        <f t="shared" si="17"/>
        <v>67.8</v>
      </c>
      <c r="P287" s="12" t="str">
        <f t="shared" si="18"/>
        <v>Improvement</v>
      </c>
      <c r="Q287" s="12" t="str">
        <f t="shared" si="19"/>
        <v>Good</v>
      </c>
    </row>
    <row r="288" spans="1:17">
      <c r="A288" s="11" t="s">
        <v>487</v>
      </c>
      <c r="B288" s="11" t="s">
        <v>152</v>
      </c>
      <c r="C288" s="11" t="s">
        <v>19</v>
      </c>
      <c r="D288" s="11">
        <v>19</v>
      </c>
      <c r="E288" s="11" t="s">
        <v>38</v>
      </c>
      <c r="F288" s="11" t="s">
        <v>39</v>
      </c>
      <c r="G288" s="11">
        <v>71</v>
      </c>
      <c r="H288" s="11">
        <v>5.7</v>
      </c>
      <c r="I288" s="11">
        <v>81</v>
      </c>
      <c r="J288" s="11">
        <v>93</v>
      </c>
      <c r="K288" s="11">
        <v>75</v>
      </c>
      <c r="L288" s="11">
        <v>98</v>
      </c>
      <c r="M288" s="11">
        <v>75</v>
      </c>
      <c r="N288" s="12">
        <f t="shared" si="16"/>
        <v>422</v>
      </c>
      <c r="O288" s="13">
        <f t="shared" si="17"/>
        <v>84.4</v>
      </c>
      <c r="P288" s="12" t="str">
        <f t="shared" si="18"/>
        <v>TopPerformer</v>
      </c>
      <c r="Q288" s="12" t="str">
        <f t="shared" si="19"/>
        <v>Excellent</v>
      </c>
    </row>
    <row r="289" spans="1:17">
      <c r="A289" s="11" t="s">
        <v>488</v>
      </c>
      <c r="B289" s="11" t="s">
        <v>489</v>
      </c>
      <c r="C289" s="11" t="s">
        <v>30</v>
      </c>
      <c r="D289" s="11">
        <v>22</v>
      </c>
      <c r="E289" s="11" t="s">
        <v>34</v>
      </c>
      <c r="F289" s="11" t="s">
        <v>105</v>
      </c>
      <c r="G289" s="11">
        <v>89</v>
      </c>
      <c r="H289" s="11">
        <v>3.6</v>
      </c>
      <c r="I289" s="11">
        <v>79</v>
      </c>
      <c r="J289" s="11">
        <v>80</v>
      </c>
      <c r="K289" s="11">
        <v>70</v>
      </c>
      <c r="L289" s="11">
        <v>81</v>
      </c>
      <c r="M289" s="11">
        <v>76</v>
      </c>
      <c r="N289" s="12">
        <f t="shared" si="16"/>
        <v>386</v>
      </c>
      <c r="O289" s="13">
        <f t="shared" si="17"/>
        <v>77.2</v>
      </c>
      <c r="P289" s="12" t="str">
        <f t="shared" si="18"/>
        <v>Improvement</v>
      </c>
      <c r="Q289" s="12" t="str">
        <f t="shared" si="19"/>
        <v>Good</v>
      </c>
    </row>
    <row r="290" spans="1:17">
      <c r="A290" s="11" t="s">
        <v>490</v>
      </c>
      <c r="B290" s="11" t="s">
        <v>491</v>
      </c>
      <c r="C290" s="11" t="s">
        <v>19</v>
      </c>
      <c r="D290" s="11">
        <v>19</v>
      </c>
      <c r="E290" s="11" t="s">
        <v>20</v>
      </c>
      <c r="F290" s="11" t="s">
        <v>39</v>
      </c>
      <c r="G290" s="11">
        <v>79</v>
      </c>
      <c r="H290" s="11">
        <v>1.6</v>
      </c>
      <c r="I290" s="11">
        <v>49</v>
      </c>
      <c r="J290" s="11">
        <v>54</v>
      </c>
      <c r="K290" s="11">
        <v>54</v>
      </c>
      <c r="L290" s="11">
        <v>55</v>
      </c>
      <c r="M290" s="11">
        <v>45</v>
      </c>
      <c r="N290" s="12">
        <f t="shared" si="16"/>
        <v>257</v>
      </c>
      <c r="O290" s="13">
        <f t="shared" si="17"/>
        <v>51.4</v>
      </c>
      <c r="P290" s="12" t="str">
        <f t="shared" si="18"/>
        <v>Improvement</v>
      </c>
      <c r="Q290" s="12" t="str">
        <f t="shared" si="19"/>
        <v>Bad</v>
      </c>
    </row>
    <row r="291" spans="1:17">
      <c r="A291" s="11" t="s">
        <v>492</v>
      </c>
      <c r="B291" s="11" t="s">
        <v>417</v>
      </c>
      <c r="C291" s="11" t="s">
        <v>30</v>
      </c>
      <c r="D291" s="11">
        <v>21</v>
      </c>
      <c r="E291" s="11" t="s">
        <v>24</v>
      </c>
      <c r="F291" s="11" t="s">
        <v>52</v>
      </c>
      <c r="G291" s="11">
        <v>73</v>
      </c>
      <c r="H291" s="11">
        <v>2</v>
      </c>
      <c r="I291" s="11">
        <v>68</v>
      </c>
      <c r="J291" s="11">
        <v>70</v>
      </c>
      <c r="K291" s="11">
        <v>63</v>
      </c>
      <c r="L291" s="11">
        <v>69</v>
      </c>
      <c r="M291" s="11">
        <v>48</v>
      </c>
      <c r="N291" s="12">
        <f t="shared" si="16"/>
        <v>318</v>
      </c>
      <c r="O291" s="13">
        <f t="shared" si="17"/>
        <v>63.6</v>
      </c>
      <c r="P291" s="12" t="str">
        <f t="shared" si="18"/>
        <v>Improvement</v>
      </c>
      <c r="Q291" s="12" t="str">
        <f t="shared" si="19"/>
        <v>Good</v>
      </c>
    </row>
    <row r="292" spans="1:17">
      <c r="A292" s="11" t="s">
        <v>493</v>
      </c>
      <c r="B292" s="11" t="s">
        <v>381</v>
      </c>
      <c r="C292" s="11" t="s">
        <v>30</v>
      </c>
      <c r="D292" s="11">
        <v>22</v>
      </c>
      <c r="E292" s="11" t="s">
        <v>34</v>
      </c>
      <c r="F292" s="11" t="s">
        <v>44</v>
      </c>
      <c r="G292" s="11">
        <v>85</v>
      </c>
      <c r="H292" s="11">
        <v>2.3</v>
      </c>
      <c r="I292" s="11">
        <v>43</v>
      </c>
      <c r="J292" s="11">
        <v>53</v>
      </c>
      <c r="K292" s="11">
        <v>54</v>
      </c>
      <c r="L292" s="11">
        <v>37</v>
      </c>
      <c r="M292" s="11">
        <v>41</v>
      </c>
      <c r="N292" s="12">
        <f t="shared" si="16"/>
        <v>228</v>
      </c>
      <c r="O292" s="13">
        <f t="shared" si="17"/>
        <v>45.6</v>
      </c>
      <c r="P292" s="12" t="str">
        <f t="shared" si="18"/>
        <v>Improvement</v>
      </c>
      <c r="Q292" s="12" t="str">
        <f t="shared" si="19"/>
        <v>Bad</v>
      </c>
    </row>
    <row r="293" spans="1:17">
      <c r="A293" s="11" t="s">
        <v>494</v>
      </c>
      <c r="B293" s="11" t="s">
        <v>495</v>
      </c>
      <c r="C293" s="11" t="s">
        <v>19</v>
      </c>
      <c r="D293" s="11">
        <v>22</v>
      </c>
      <c r="E293" s="11" t="s">
        <v>20</v>
      </c>
      <c r="F293" s="11" t="s">
        <v>105</v>
      </c>
      <c r="G293" s="11">
        <v>69</v>
      </c>
      <c r="H293" s="11">
        <v>2.6</v>
      </c>
      <c r="I293" s="11">
        <v>48</v>
      </c>
      <c r="J293" s="11">
        <v>56</v>
      </c>
      <c r="K293" s="11">
        <v>66</v>
      </c>
      <c r="L293" s="11">
        <v>47</v>
      </c>
      <c r="M293" s="11">
        <v>56</v>
      </c>
      <c r="N293" s="12">
        <f t="shared" si="16"/>
        <v>273</v>
      </c>
      <c r="O293" s="13">
        <f t="shared" si="17"/>
        <v>54.6</v>
      </c>
      <c r="P293" s="12" t="str">
        <f t="shared" si="18"/>
        <v>Improvement</v>
      </c>
      <c r="Q293" s="12" t="str">
        <f t="shared" si="19"/>
        <v>Bad</v>
      </c>
    </row>
    <row r="294" spans="1:17">
      <c r="A294" s="11" t="s">
        <v>496</v>
      </c>
      <c r="B294" s="11" t="s">
        <v>112</v>
      </c>
      <c r="C294" s="11" t="s">
        <v>30</v>
      </c>
      <c r="D294" s="11">
        <v>20</v>
      </c>
      <c r="E294" s="11" t="s">
        <v>48</v>
      </c>
      <c r="F294" s="11" t="s">
        <v>21</v>
      </c>
      <c r="G294" s="11">
        <v>92</v>
      </c>
      <c r="H294" s="11">
        <v>3.3</v>
      </c>
      <c r="I294" s="11">
        <v>76</v>
      </c>
      <c r="J294" s="11">
        <v>69</v>
      </c>
      <c r="K294" s="11">
        <v>76</v>
      </c>
      <c r="L294" s="11">
        <v>75</v>
      </c>
      <c r="M294" s="11">
        <v>80</v>
      </c>
      <c r="N294" s="12">
        <f t="shared" si="16"/>
        <v>376</v>
      </c>
      <c r="O294" s="13">
        <f t="shared" si="17"/>
        <v>75.2</v>
      </c>
      <c r="P294" s="12" t="str">
        <f t="shared" si="18"/>
        <v>Improvement</v>
      </c>
      <c r="Q294" s="12" t="str">
        <f t="shared" si="19"/>
        <v>Good</v>
      </c>
    </row>
    <row r="295" spans="1:17">
      <c r="A295" s="11" t="s">
        <v>497</v>
      </c>
      <c r="B295" s="11" t="s">
        <v>75</v>
      </c>
      <c r="C295" s="11" t="s">
        <v>19</v>
      </c>
      <c r="D295" s="11">
        <v>18</v>
      </c>
      <c r="E295" s="11" t="s">
        <v>24</v>
      </c>
      <c r="F295" s="11" t="s">
        <v>35</v>
      </c>
      <c r="G295" s="11">
        <v>88</v>
      </c>
      <c r="H295" s="11">
        <v>2.3</v>
      </c>
      <c r="I295" s="11">
        <v>70</v>
      </c>
      <c r="J295" s="11">
        <v>56</v>
      </c>
      <c r="K295" s="11">
        <v>76</v>
      </c>
      <c r="L295" s="11">
        <v>85</v>
      </c>
      <c r="M295" s="11">
        <v>75</v>
      </c>
      <c r="N295" s="12">
        <f t="shared" si="16"/>
        <v>362</v>
      </c>
      <c r="O295" s="13">
        <f t="shared" si="17"/>
        <v>72.4</v>
      </c>
      <c r="P295" s="12" t="str">
        <f t="shared" si="18"/>
        <v>Improvement</v>
      </c>
      <c r="Q295" s="12" t="str">
        <f t="shared" si="19"/>
        <v>Good</v>
      </c>
    </row>
    <row r="296" spans="1:17">
      <c r="A296" s="11" t="s">
        <v>498</v>
      </c>
      <c r="B296" s="11" t="s">
        <v>26</v>
      </c>
      <c r="C296" s="11" t="s">
        <v>19</v>
      </c>
      <c r="D296" s="11">
        <v>22</v>
      </c>
      <c r="E296" s="11" t="s">
        <v>48</v>
      </c>
      <c r="F296" s="11" t="s">
        <v>44</v>
      </c>
      <c r="G296" s="11">
        <v>65</v>
      </c>
      <c r="H296" s="11">
        <v>4.2</v>
      </c>
      <c r="I296" s="11">
        <v>51</v>
      </c>
      <c r="J296" s="11">
        <v>57</v>
      </c>
      <c r="K296" s="11">
        <v>63</v>
      </c>
      <c r="L296" s="11">
        <v>46</v>
      </c>
      <c r="M296" s="11">
        <v>54</v>
      </c>
      <c r="N296" s="12">
        <f t="shared" si="16"/>
        <v>271</v>
      </c>
      <c r="O296" s="13">
        <f t="shared" si="17"/>
        <v>54.2</v>
      </c>
      <c r="P296" s="12" t="str">
        <f t="shared" si="18"/>
        <v>Improvement</v>
      </c>
      <c r="Q296" s="12" t="str">
        <f t="shared" si="19"/>
        <v>Bad</v>
      </c>
    </row>
    <row r="297" spans="1:17">
      <c r="A297" s="11" t="s">
        <v>499</v>
      </c>
      <c r="B297" s="11" t="s">
        <v>61</v>
      </c>
      <c r="C297" s="11" t="s">
        <v>19</v>
      </c>
      <c r="D297" s="11">
        <v>18</v>
      </c>
      <c r="E297" s="11" t="s">
        <v>38</v>
      </c>
      <c r="F297" s="11" t="s">
        <v>52</v>
      </c>
      <c r="G297" s="11">
        <v>77</v>
      </c>
      <c r="H297" s="11">
        <v>4.6</v>
      </c>
      <c r="I297" s="11">
        <v>80</v>
      </c>
      <c r="J297" s="11">
        <v>81</v>
      </c>
      <c r="K297" s="11">
        <v>65</v>
      </c>
      <c r="L297" s="11">
        <v>83</v>
      </c>
      <c r="M297" s="11">
        <v>67</v>
      </c>
      <c r="N297" s="12">
        <f t="shared" si="16"/>
        <v>376</v>
      </c>
      <c r="O297" s="13">
        <f t="shared" si="17"/>
        <v>75.2</v>
      </c>
      <c r="P297" s="12" t="str">
        <f t="shared" si="18"/>
        <v>Improvement</v>
      </c>
      <c r="Q297" s="12" t="str">
        <f t="shared" si="19"/>
        <v>Good</v>
      </c>
    </row>
    <row r="298" spans="1:17">
      <c r="A298" s="11" t="s">
        <v>500</v>
      </c>
      <c r="B298" s="11" t="s">
        <v>304</v>
      </c>
      <c r="C298" s="11" t="s">
        <v>30</v>
      </c>
      <c r="D298" s="11">
        <v>22</v>
      </c>
      <c r="E298" s="11" t="s">
        <v>38</v>
      </c>
      <c r="F298" s="11" t="s">
        <v>44</v>
      </c>
      <c r="G298" s="11">
        <v>85</v>
      </c>
      <c r="H298" s="11">
        <v>2.5</v>
      </c>
      <c r="I298" s="11">
        <v>57</v>
      </c>
      <c r="J298" s="11">
        <v>52</v>
      </c>
      <c r="K298" s="11">
        <v>59</v>
      </c>
      <c r="L298" s="11">
        <v>50</v>
      </c>
      <c r="M298" s="11">
        <v>39</v>
      </c>
      <c r="N298" s="12">
        <f t="shared" si="16"/>
        <v>257</v>
      </c>
      <c r="O298" s="13">
        <f t="shared" si="17"/>
        <v>51.4</v>
      </c>
      <c r="P298" s="12" t="str">
        <f t="shared" si="18"/>
        <v>Improvement</v>
      </c>
      <c r="Q298" s="12" t="str">
        <f t="shared" si="19"/>
        <v>Bad</v>
      </c>
    </row>
    <row r="299" spans="1:17">
      <c r="A299" s="11" t="s">
        <v>501</v>
      </c>
      <c r="B299" s="11" t="s">
        <v>366</v>
      </c>
      <c r="C299" s="11" t="s">
        <v>19</v>
      </c>
      <c r="D299" s="11">
        <v>21</v>
      </c>
      <c r="E299" s="11" t="s">
        <v>34</v>
      </c>
      <c r="F299" s="11" t="s">
        <v>39</v>
      </c>
      <c r="G299" s="11">
        <v>76</v>
      </c>
      <c r="H299" s="11">
        <v>6.3</v>
      </c>
      <c r="I299" s="11">
        <v>64</v>
      </c>
      <c r="J299" s="11">
        <v>68</v>
      </c>
      <c r="K299" s="11">
        <v>58</v>
      </c>
      <c r="L299" s="11">
        <v>69</v>
      </c>
      <c r="M299" s="11">
        <v>80</v>
      </c>
      <c r="N299" s="12">
        <f t="shared" si="16"/>
        <v>339</v>
      </c>
      <c r="O299" s="13">
        <f t="shared" si="17"/>
        <v>67.8</v>
      </c>
      <c r="P299" s="12" t="str">
        <f t="shared" si="18"/>
        <v>Improvement</v>
      </c>
      <c r="Q299" s="12" t="str">
        <f t="shared" si="19"/>
        <v>Good</v>
      </c>
    </row>
    <row r="300" spans="1:17">
      <c r="A300" s="11" t="s">
        <v>502</v>
      </c>
      <c r="B300" s="11" t="s">
        <v>95</v>
      </c>
      <c r="C300" s="11" t="s">
        <v>30</v>
      </c>
      <c r="D300" s="11">
        <v>18</v>
      </c>
      <c r="E300" s="11" t="s">
        <v>38</v>
      </c>
      <c r="F300" s="11" t="s">
        <v>39</v>
      </c>
      <c r="G300" s="11">
        <v>81</v>
      </c>
      <c r="H300" s="11">
        <v>3.3</v>
      </c>
      <c r="I300" s="11">
        <v>65</v>
      </c>
      <c r="J300" s="11">
        <v>54</v>
      </c>
      <c r="K300" s="11">
        <v>55</v>
      </c>
      <c r="L300" s="11">
        <v>53</v>
      </c>
      <c r="M300" s="11">
        <v>41</v>
      </c>
      <c r="N300" s="12">
        <f t="shared" si="16"/>
        <v>268</v>
      </c>
      <c r="O300" s="13">
        <f t="shared" si="17"/>
        <v>53.6</v>
      </c>
      <c r="P300" s="12" t="str">
        <f t="shared" si="18"/>
        <v>Improvement</v>
      </c>
      <c r="Q300" s="12" t="str">
        <f t="shared" si="19"/>
        <v>Bad</v>
      </c>
    </row>
    <row r="301" spans="1:17">
      <c r="A301" s="11" t="s">
        <v>503</v>
      </c>
      <c r="B301" s="11" t="s">
        <v>295</v>
      </c>
      <c r="C301" s="11" t="s">
        <v>30</v>
      </c>
      <c r="D301" s="11">
        <v>19</v>
      </c>
      <c r="E301" s="11" t="s">
        <v>34</v>
      </c>
      <c r="F301" s="11" t="s">
        <v>44</v>
      </c>
      <c r="G301" s="11">
        <v>75</v>
      </c>
      <c r="H301" s="11">
        <v>3.2</v>
      </c>
      <c r="I301" s="11">
        <v>79</v>
      </c>
      <c r="J301" s="11">
        <v>68</v>
      </c>
      <c r="K301" s="11">
        <v>83</v>
      </c>
      <c r="L301" s="11">
        <v>67</v>
      </c>
      <c r="M301" s="11">
        <v>81</v>
      </c>
      <c r="N301" s="12">
        <f t="shared" si="16"/>
        <v>378</v>
      </c>
      <c r="O301" s="13">
        <f t="shared" si="17"/>
        <v>75.6</v>
      </c>
      <c r="P301" s="12" t="str">
        <f t="shared" si="18"/>
        <v>Improvement</v>
      </c>
      <c r="Q301" s="12" t="str">
        <f t="shared" si="19"/>
        <v>Good</v>
      </c>
    </row>
    <row r="302" spans="1:17">
      <c r="A302" s="11" t="s">
        <v>504</v>
      </c>
      <c r="B302" s="11" t="s">
        <v>246</v>
      </c>
      <c r="C302" s="11" t="s">
        <v>30</v>
      </c>
      <c r="D302" s="11">
        <v>21</v>
      </c>
      <c r="E302" s="11" t="s">
        <v>34</v>
      </c>
      <c r="F302" s="11" t="s">
        <v>105</v>
      </c>
      <c r="G302" s="11">
        <v>72</v>
      </c>
      <c r="H302" s="11">
        <v>3.5</v>
      </c>
      <c r="I302" s="11">
        <v>59</v>
      </c>
      <c r="J302" s="11">
        <v>67</v>
      </c>
      <c r="K302" s="11">
        <v>58</v>
      </c>
      <c r="L302" s="11">
        <v>68</v>
      </c>
      <c r="M302" s="11">
        <v>66</v>
      </c>
      <c r="N302" s="12">
        <f t="shared" si="16"/>
        <v>318</v>
      </c>
      <c r="O302" s="13">
        <f t="shared" si="17"/>
        <v>63.6</v>
      </c>
      <c r="P302" s="12" t="str">
        <f t="shared" si="18"/>
        <v>Improvement</v>
      </c>
      <c r="Q302" s="12" t="str">
        <f t="shared" si="19"/>
        <v>Good</v>
      </c>
    </row>
    <row r="303" spans="1:17">
      <c r="A303" s="11" t="s">
        <v>505</v>
      </c>
      <c r="B303" s="11" t="s">
        <v>160</v>
      </c>
      <c r="C303" s="11" t="s">
        <v>19</v>
      </c>
      <c r="D303" s="11">
        <v>21</v>
      </c>
      <c r="E303" s="11" t="s">
        <v>20</v>
      </c>
      <c r="F303" s="11" t="s">
        <v>39</v>
      </c>
      <c r="G303" s="11">
        <v>86</v>
      </c>
      <c r="H303" s="11">
        <v>6.9</v>
      </c>
      <c r="I303" s="11">
        <v>92</v>
      </c>
      <c r="J303" s="11">
        <v>98</v>
      </c>
      <c r="K303" s="11">
        <v>88</v>
      </c>
      <c r="L303" s="11">
        <v>88</v>
      </c>
      <c r="M303" s="11">
        <v>90</v>
      </c>
      <c r="N303" s="12">
        <f t="shared" si="16"/>
        <v>456</v>
      </c>
      <c r="O303" s="13">
        <f t="shared" si="17"/>
        <v>91.2</v>
      </c>
      <c r="P303" s="12" t="str">
        <f t="shared" si="18"/>
        <v>TopPerformer</v>
      </c>
      <c r="Q303" s="12" t="str">
        <f t="shared" si="19"/>
        <v>Excellent</v>
      </c>
    </row>
    <row r="304" spans="1:17">
      <c r="A304" s="11" t="s">
        <v>506</v>
      </c>
      <c r="B304" s="11" t="s">
        <v>207</v>
      </c>
      <c r="C304" s="11" t="s">
        <v>30</v>
      </c>
      <c r="D304" s="11">
        <v>22</v>
      </c>
      <c r="E304" s="11" t="s">
        <v>24</v>
      </c>
      <c r="F304" s="11" t="s">
        <v>52</v>
      </c>
      <c r="G304" s="11">
        <v>87</v>
      </c>
      <c r="H304" s="11">
        <v>3.5</v>
      </c>
      <c r="I304" s="11">
        <v>74</v>
      </c>
      <c r="J304" s="11">
        <v>72</v>
      </c>
      <c r="K304" s="11">
        <v>64</v>
      </c>
      <c r="L304" s="11">
        <v>60</v>
      </c>
      <c r="M304" s="11">
        <v>74</v>
      </c>
      <c r="N304" s="12">
        <f t="shared" si="16"/>
        <v>344</v>
      </c>
      <c r="O304" s="13">
        <f t="shared" si="17"/>
        <v>68.8</v>
      </c>
      <c r="P304" s="12" t="str">
        <f t="shared" si="18"/>
        <v>Improvement</v>
      </c>
      <c r="Q304" s="12" t="str">
        <f t="shared" si="19"/>
        <v>Good</v>
      </c>
    </row>
    <row r="305" spans="1:17">
      <c r="A305" s="11" t="s">
        <v>507</v>
      </c>
      <c r="B305" s="11" t="s">
        <v>508</v>
      </c>
      <c r="C305" s="11" t="s">
        <v>30</v>
      </c>
      <c r="D305" s="11">
        <v>18</v>
      </c>
      <c r="E305" s="11" t="s">
        <v>38</v>
      </c>
      <c r="F305" s="11" t="s">
        <v>35</v>
      </c>
      <c r="G305" s="11">
        <v>83</v>
      </c>
      <c r="H305" s="11">
        <v>5</v>
      </c>
      <c r="I305" s="11">
        <v>78</v>
      </c>
      <c r="J305" s="11">
        <v>80</v>
      </c>
      <c r="K305" s="11">
        <v>76</v>
      </c>
      <c r="L305" s="11">
        <v>70</v>
      </c>
      <c r="M305" s="11">
        <v>74</v>
      </c>
      <c r="N305" s="12">
        <f t="shared" si="16"/>
        <v>378</v>
      </c>
      <c r="O305" s="13">
        <f t="shared" si="17"/>
        <v>75.6</v>
      </c>
      <c r="P305" s="12" t="str">
        <f t="shared" si="18"/>
        <v>Improvement</v>
      </c>
      <c r="Q305" s="12" t="str">
        <f t="shared" si="19"/>
        <v>Good</v>
      </c>
    </row>
    <row r="306" spans="1:17">
      <c r="A306" s="11" t="s">
        <v>509</v>
      </c>
      <c r="B306" s="11" t="s">
        <v>63</v>
      </c>
      <c r="C306" s="11" t="s">
        <v>19</v>
      </c>
      <c r="D306" s="11">
        <v>21</v>
      </c>
      <c r="E306" s="11" t="s">
        <v>24</v>
      </c>
      <c r="F306" s="11" t="s">
        <v>39</v>
      </c>
      <c r="G306" s="11">
        <v>78</v>
      </c>
      <c r="H306" s="11">
        <v>3.9</v>
      </c>
      <c r="I306" s="11">
        <v>60</v>
      </c>
      <c r="J306" s="11">
        <v>66</v>
      </c>
      <c r="K306" s="11">
        <v>53</v>
      </c>
      <c r="L306" s="11">
        <v>49</v>
      </c>
      <c r="M306" s="11">
        <v>59</v>
      </c>
      <c r="N306" s="12">
        <f t="shared" si="16"/>
        <v>287</v>
      </c>
      <c r="O306" s="13">
        <f t="shared" si="17"/>
        <v>57.4</v>
      </c>
      <c r="P306" s="12" t="str">
        <f t="shared" si="18"/>
        <v>Improvement</v>
      </c>
      <c r="Q306" s="12" t="str">
        <f t="shared" si="19"/>
        <v>Bad</v>
      </c>
    </row>
    <row r="307" spans="1:17">
      <c r="A307" s="11" t="s">
        <v>510</v>
      </c>
      <c r="B307" s="11" t="s">
        <v>495</v>
      </c>
      <c r="C307" s="11" t="s">
        <v>30</v>
      </c>
      <c r="D307" s="11">
        <v>19</v>
      </c>
      <c r="E307" s="11" t="s">
        <v>27</v>
      </c>
      <c r="F307" s="11" t="s">
        <v>21</v>
      </c>
      <c r="G307" s="11">
        <v>68</v>
      </c>
      <c r="H307" s="11">
        <v>3.5</v>
      </c>
      <c r="I307" s="11">
        <v>63</v>
      </c>
      <c r="J307" s="11">
        <v>66</v>
      </c>
      <c r="K307" s="11">
        <v>54</v>
      </c>
      <c r="L307" s="11">
        <v>62</v>
      </c>
      <c r="M307" s="11">
        <v>65</v>
      </c>
      <c r="N307" s="12">
        <f t="shared" si="16"/>
        <v>310</v>
      </c>
      <c r="O307" s="13">
        <f t="shared" si="17"/>
        <v>62</v>
      </c>
      <c r="P307" s="12" t="str">
        <f t="shared" si="18"/>
        <v>Improvement</v>
      </c>
      <c r="Q307" s="12" t="str">
        <f t="shared" si="19"/>
        <v>Good</v>
      </c>
    </row>
    <row r="308" spans="1:17">
      <c r="A308" s="11" t="s">
        <v>511</v>
      </c>
      <c r="B308" s="11" t="s">
        <v>512</v>
      </c>
      <c r="C308" s="11" t="s">
        <v>19</v>
      </c>
      <c r="D308" s="11">
        <v>18</v>
      </c>
      <c r="E308" s="11" t="s">
        <v>24</v>
      </c>
      <c r="F308" s="11" t="s">
        <v>64</v>
      </c>
      <c r="G308" s="11">
        <v>57</v>
      </c>
      <c r="H308" s="11">
        <v>2.9</v>
      </c>
      <c r="I308" s="11">
        <v>43</v>
      </c>
      <c r="J308" s="11">
        <v>53</v>
      </c>
      <c r="K308" s="11">
        <v>51</v>
      </c>
      <c r="L308" s="11">
        <v>33</v>
      </c>
      <c r="M308" s="11">
        <v>53</v>
      </c>
      <c r="N308" s="12">
        <f t="shared" si="16"/>
        <v>233</v>
      </c>
      <c r="O308" s="13">
        <f t="shared" si="17"/>
        <v>46.6</v>
      </c>
      <c r="P308" s="12" t="str">
        <f t="shared" si="18"/>
        <v>Improvement</v>
      </c>
      <c r="Q308" s="12" t="str">
        <f t="shared" si="19"/>
        <v>Bad</v>
      </c>
    </row>
    <row r="309" spans="1:17">
      <c r="A309" s="11" t="s">
        <v>513</v>
      </c>
      <c r="B309" s="11" t="s">
        <v>231</v>
      </c>
      <c r="C309" s="11" t="s">
        <v>30</v>
      </c>
      <c r="D309" s="11">
        <v>22</v>
      </c>
      <c r="E309" s="11" t="s">
        <v>38</v>
      </c>
      <c r="F309" s="11" t="s">
        <v>105</v>
      </c>
      <c r="G309" s="11">
        <v>82</v>
      </c>
      <c r="H309" s="11">
        <v>3.4</v>
      </c>
      <c r="I309" s="11">
        <v>66</v>
      </c>
      <c r="J309" s="11">
        <v>63</v>
      </c>
      <c r="K309" s="11">
        <v>52</v>
      </c>
      <c r="L309" s="11">
        <v>53</v>
      </c>
      <c r="M309" s="11">
        <v>60</v>
      </c>
      <c r="N309" s="12">
        <f t="shared" si="16"/>
        <v>294</v>
      </c>
      <c r="O309" s="13">
        <f t="shared" si="17"/>
        <v>58.8</v>
      </c>
      <c r="P309" s="12" t="str">
        <f t="shared" si="18"/>
        <v>Improvement</v>
      </c>
      <c r="Q309" s="12" t="str">
        <f t="shared" si="19"/>
        <v>Bad</v>
      </c>
    </row>
    <row r="310" spans="1:17">
      <c r="A310" s="11" t="s">
        <v>514</v>
      </c>
      <c r="B310" s="11" t="s">
        <v>389</v>
      </c>
      <c r="C310" s="11" t="s">
        <v>30</v>
      </c>
      <c r="D310" s="11">
        <v>18</v>
      </c>
      <c r="E310" s="11" t="s">
        <v>38</v>
      </c>
      <c r="F310" s="11" t="s">
        <v>52</v>
      </c>
      <c r="G310" s="11">
        <v>79</v>
      </c>
      <c r="H310" s="11">
        <v>2.4</v>
      </c>
      <c r="I310" s="11">
        <v>58</v>
      </c>
      <c r="J310" s="11">
        <v>59</v>
      </c>
      <c r="K310" s="11">
        <v>71</v>
      </c>
      <c r="L310" s="11">
        <v>51</v>
      </c>
      <c r="M310" s="11">
        <v>55</v>
      </c>
      <c r="N310" s="12">
        <f t="shared" si="16"/>
        <v>294</v>
      </c>
      <c r="O310" s="13">
        <f t="shared" si="17"/>
        <v>58.8</v>
      </c>
      <c r="P310" s="12" t="str">
        <f t="shared" si="18"/>
        <v>Improvement</v>
      </c>
      <c r="Q310" s="12" t="str">
        <f t="shared" si="19"/>
        <v>Bad</v>
      </c>
    </row>
    <row r="311" spans="1:17">
      <c r="A311" s="11" t="s">
        <v>515</v>
      </c>
      <c r="B311" s="11" t="s">
        <v>457</v>
      </c>
      <c r="C311" s="11" t="s">
        <v>19</v>
      </c>
      <c r="D311" s="11">
        <v>18</v>
      </c>
      <c r="E311" s="11" t="s">
        <v>48</v>
      </c>
      <c r="F311" s="11" t="s">
        <v>21</v>
      </c>
      <c r="G311" s="11">
        <v>68</v>
      </c>
      <c r="H311" s="11">
        <v>3</v>
      </c>
      <c r="I311" s="11">
        <v>37</v>
      </c>
      <c r="J311" s="11">
        <v>44</v>
      </c>
      <c r="K311" s="11">
        <v>42</v>
      </c>
      <c r="L311" s="11">
        <v>55</v>
      </c>
      <c r="M311" s="11">
        <v>55</v>
      </c>
      <c r="N311" s="12">
        <f t="shared" si="16"/>
        <v>233</v>
      </c>
      <c r="O311" s="13">
        <f t="shared" si="17"/>
        <v>46.6</v>
      </c>
      <c r="P311" s="12" t="str">
        <f t="shared" si="18"/>
        <v>Improvement</v>
      </c>
      <c r="Q311" s="12" t="str">
        <f t="shared" si="19"/>
        <v>Bad</v>
      </c>
    </row>
    <row r="312" spans="1:17">
      <c r="A312" s="11" t="s">
        <v>516</v>
      </c>
      <c r="B312" s="11" t="s">
        <v>283</v>
      </c>
      <c r="C312" s="11" t="s">
        <v>19</v>
      </c>
      <c r="D312" s="11">
        <v>22</v>
      </c>
      <c r="E312" s="11" t="s">
        <v>20</v>
      </c>
      <c r="F312" s="11" t="s">
        <v>21</v>
      </c>
      <c r="G312" s="11">
        <v>77</v>
      </c>
      <c r="H312" s="11">
        <v>4.4</v>
      </c>
      <c r="I312" s="11">
        <v>66</v>
      </c>
      <c r="J312" s="11">
        <v>80</v>
      </c>
      <c r="K312" s="11">
        <v>59</v>
      </c>
      <c r="L312" s="11">
        <v>61</v>
      </c>
      <c r="M312" s="11">
        <v>77</v>
      </c>
      <c r="N312" s="12">
        <f t="shared" si="16"/>
        <v>343</v>
      </c>
      <c r="O312" s="13">
        <f t="shared" si="17"/>
        <v>68.6</v>
      </c>
      <c r="P312" s="12" t="str">
        <f t="shared" si="18"/>
        <v>Improvement</v>
      </c>
      <c r="Q312" s="12" t="str">
        <f t="shared" si="19"/>
        <v>Good</v>
      </c>
    </row>
    <row r="313" spans="1:17">
      <c r="A313" s="11" t="s">
        <v>517</v>
      </c>
      <c r="B313" s="11" t="s">
        <v>518</v>
      </c>
      <c r="C313" s="11" t="s">
        <v>19</v>
      </c>
      <c r="D313" s="11">
        <v>19</v>
      </c>
      <c r="E313" s="11" t="s">
        <v>48</v>
      </c>
      <c r="F313" s="11" t="s">
        <v>35</v>
      </c>
      <c r="G313" s="11">
        <v>86</v>
      </c>
      <c r="H313" s="11">
        <v>3.7</v>
      </c>
      <c r="I313" s="11">
        <v>33</v>
      </c>
      <c r="J313" s="11">
        <v>50</v>
      </c>
      <c r="K313" s="11">
        <v>46</v>
      </c>
      <c r="L313" s="11">
        <v>41</v>
      </c>
      <c r="M313" s="11">
        <v>50</v>
      </c>
      <c r="N313" s="12">
        <f t="shared" si="16"/>
        <v>220</v>
      </c>
      <c r="O313" s="13">
        <f t="shared" si="17"/>
        <v>44</v>
      </c>
      <c r="P313" s="12" t="str">
        <f t="shared" si="18"/>
        <v>Improvement</v>
      </c>
      <c r="Q313" s="12" t="str">
        <f t="shared" si="19"/>
        <v>Bad</v>
      </c>
    </row>
    <row r="314" spans="1:17">
      <c r="A314" s="11" t="s">
        <v>519</v>
      </c>
      <c r="B314" s="11" t="s">
        <v>451</v>
      </c>
      <c r="C314" s="11" t="s">
        <v>19</v>
      </c>
      <c r="D314" s="11">
        <v>22</v>
      </c>
      <c r="E314" s="11" t="s">
        <v>27</v>
      </c>
      <c r="F314" s="11" t="s">
        <v>44</v>
      </c>
      <c r="G314" s="11">
        <v>93</v>
      </c>
      <c r="H314" s="11">
        <v>3.8</v>
      </c>
      <c r="I314" s="11">
        <v>74</v>
      </c>
      <c r="J314" s="11">
        <v>58</v>
      </c>
      <c r="K314" s="11">
        <v>88</v>
      </c>
      <c r="L314" s="11">
        <v>69</v>
      </c>
      <c r="M314" s="11">
        <v>69</v>
      </c>
      <c r="N314" s="12">
        <f t="shared" si="16"/>
        <v>358</v>
      </c>
      <c r="O314" s="13">
        <f t="shared" si="17"/>
        <v>71.6</v>
      </c>
      <c r="P314" s="12" t="str">
        <f t="shared" si="18"/>
        <v>Improvement</v>
      </c>
      <c r="Q314" s="12" t="str">
        <f t="shared" si="19"/>
        <v>Good</v>
      </c>
    </row>
    <row r="315" spans="1:17">
      <c r="A315" s="11" t="s">
        <v>520</v>
      </c>
      <c r="B315" s="11" t="s">
        <v>124</v>
      </c>
      <c r="C315" s="11" t="s">
        <v>19</v>
      </c>
      <c r="D315" s="11">
        <v>21</v>
      </c>
      <c r="E315" s="11" t="s">
        <v>27</v>
      </c>
      <c r="F315" s="11" t="s">
        <v>35</v>
      </c>
      <c r="G315" s="11">
        <v>67</v>
      </c>
      <c r="H315" s="11">
        <v>5.9</v>
      </c>
      <c r="I315" s="11">
        <v>68</v>
      </c>
      <c r="J315" s="11">
        <v>57</v>
      </c>
      <c r="K315" s="11">
        <v>71</v>
      </c>
      <c r="L315" s="11">
        <v>62</v>
      </c>
      <c r="M315" s="11">
        <v>68</v>
      </c>
      <c r="N315" s="12">
        <f t="shared" si="16"/>
        <v>326</v>
      </c>
      <c r="O315" s="13">
        <f t="shared" si="17"/>
        <v>65.2</v>
      </c>
      <c r="P315" s="12" t="str">
        <f t="shared" si="18"/>
        <v>Improvement</v>
      </c>
      <c r="Q315" s="12" t="str">
        <f t="shared" si="19"/>
        <v>Good</v>
      </c>
    </row>
    <row r="316" spans="1:17">
      <c r="A316" s="11" t="s">
        <v>521</v>
      </c>
      <c r="B316" s="11" t="s">
        <v>377</v>
      </c>
      <c r="C316" s="11" t="s">
        <v>30</v>
      </c>
      <c r="D316" s="11">
        <v>22</v>
      </c>
      <c r="E316" s="11" t="s">
        <v>27</v>
      </c>
      <c r="F316" s="11" t="s">
        <v>39</v>
      </c>
      <c r="G316" s="11">
        <v>82</v>
      </c>
      <c r="H316" s="11">
        <v>3.9</v>
      </c>
      <c r="I316" s="11">
        <v>71</v>
      </c>
      <c r="J316" s="11">
        <v>59</v>
      </c>
      <c r="K316" s="11">
        <v>59</v>
      </c>
      <c r="L316" s="11">
        <v>70</v>
      </c>
      <c r="M316" s="11">
        <v>58</v>
      </c>
      <c r="N316" s="12">
        <f t="shared" si="16"/>
        <v>317</v>
      </c>
      <c r="O316" s="13">
        <f t="shared" si="17"/>
        <v>63.4</v>
      </c>
      <c r="P316" s="12" t="str">
        <f t="shared" si="18"/>
        <v>Improvement</v>
      </c>
      <c r="Q316" s="12" t="str">
        <f t="shared" si="19"/>
        <v>Good</v>
      </c>
    </row>
    <row r="317" spans="1:17">
      <c r="A317" s="11" t="s">
        <v>522</v>
      </c>
      <c r="B317" s="11" t="s">
        <v>389</v>
      </c>
      <c r="C317" s="11" t="s">
        <v>30</v>
      </c>
      <c r="D317" s="11">
        <v>18</v>
      </c>
      <c r="E317" s="11" t="s">
        <v>20</v>
      </c>
      <c r="F317" s="11" t="s">
        <v>31</v>
      </c>
      <c r="G317" s="11">
        <v>99</v>
      </c>
      <c r="H317" s="11">
        <v>4.9</v>
      </c>
      <c r="I317" s="11">
        <v>76</v>
      </c>
      <c r="J317" s="11">
        <v>85</v>
      </c>
      <c r="K317" s="11">
        <v>75</v>
      </c>
      <c r="L317" s="11">
        <v>81</v>
      </c>
      <c r="M317" s="11">
        <v>89</v>
      </c>
      <c r="N317" s="12">
        <f t="shared" si="16"/>
        <v>406</v>
      </c>
      <c r="O317" s="13">
        <f t="shared" si="17"/>
        <v>81.2</v>
      </c>
      <c r="P317" s="12" t="str">
        <f t="shared" si="18"/>
        <v>TopPerformer</v>
      </c>
      <c r="Q317" s="12" t="str">
        <f t="shared" si="19"/>
        <v>Excellent</v>
      </c>
    </row>
    <row r="318" spans="1:17">
      <c r="A318" s="11" t="s">
        <v>523</v>
      </c>
      <c r="B318" s="11" t="s">
        <v>524</v>
      </c>
      <c r="C318" s="11" t="s">
        <v>30</v>
      </c>
      <c r="D318" s="11">
        <v>18</v>
      </c>
      <c r="E318" s="11" t="s">
        <v>34</v>
      </c>
      <c r="F318" s="11" t="s">
        <v>105</v>
      </c>
      <c r="G318" s="11">
        <v>69</v>
      </c>
      <c r="H318" s="11">
        <v>4.5</v>
      </c>
      <c r="I318" s="11">
        <v>90</v>
      </c>
      <c r="J318" s="11">
        <v>63</v>
      </c>
      <c r="K318" s="11">
        <v>90</v>
      </c>
      <c r="L318" s="11">
        <v>86</v>
      </c>
      <c r="M318" s="11">
        <v>66</v>
      </c>
      <c r="N318" s="12">
        <f t="shared" si="16"/>
        <v>395</v>
      </c>
      <c r="O318" s="13">
        <f t="shared" si="17"/>
        <v>79</v>
      </c>
      <c r="P318" s="12" t="str">
        <f t="shared" si="18"/>
        <v>Improvement</v>
      </c>
      <c r="Q318" s="12" t="str">
        <f t="shared" si="19"/>
        <v>Good</v>
      </c>
    </row>
    <row r="319" spans="1:17">
      <c r="A319" s="11" t="s">
        <v>525</v>
      </c>
      <c r="B319" s="11" t="s">
        <v>146</v>
      </c>
      <c r="C319" s="11" t="s">
        <v>19</v>
      </c>
      <c r="D319" s="11">
        <v>18</v>
      </c>
      <c r="E319" s="11" t="s">
        <v>34</v>
      </c>
      <c r="F319" s="11" t="s">
        <v>21</v>
      </c>
      <c r="G319" s="11">
        <v>70</v>
      </c>
      <c r="H319" s="11">
        <v>4.7</v>
      </c>
      <c r="I319" s="11">
        <v>48</v>
      </c>
      <c r="J319" s="11">
        <v>59</v>
      </c>
      <c r="K319" s="11">
        <v>50</v>
      </c>
      <c r="L319" s="11">
        <v>46</v>
      </c>
      <c r="M319" s="11">
        <v>57</v>
      </c>
      <c r="N319" s="12">
        <f t="shared" si="16"/>
        <v>260</v>
      </c>
      <c r="O319" s="13">
        <f t="shared" si="17"/>
        <v>52</v>
      </c>
      <c r="P319" s="12" t="str">
        <f t="shared" si="18"/>
        <v>Improvement</v>
      </c>
      <c r="Q319" s="12" t="str">
        <f t="shared" si="19"/>
        <v>Bad</v>
      </c>
    </row>
    <row r="320" spans="1:17">
      <c r="A320" s="11" t="s">
        <v>526</v>
      </c>
      <c r="B320" s="11" t="s">
        <v>260</v>
      </c>
      <c r="C320" s="11" t="s">
        <v>19</v>
      </c>
      <c r="D320" s="11">
        <v>21</v>
      </c>
      <c r="E320" s="11" t="s">
        <v>48</v>
      </c>
      <c r="F320" s="11" t="s">
        <v>21</v>
      </c>
      <c r="G320" s="11">
        <v>91</v>
      </c>
      <c r="H320" s="11">
        <v>4.9</v>
      </c>
      <c r="I320" s="11">
        <v>73</v>
      </c>
      <c r="J320" s="11">
        <v>71</v>
      </c>
      <c r="K320" s="11">
        <v>63</v>
      </c>
      <c r="L320" s="11">
        <v>65</v>
      </c>
      <c r="M320" s="11">
        <v>70</v>
      </c>
      <c r="N320" s="12">
        <f t="shared" si="16"/>
        <v>342</v>
      </c>
      <c r="O320" s="13">
        <f t="shared" si="17"/>
        <v>68.4</v>
      </c>
      <c r="P320" s="12" t="str">
        <f t="shared" si="18"/>
        <v>Improvement</v>
      </c>
      <c r="Q320" s="12" t="str">
        <f t="shared" si="19"/>
        <v>Good</v>
      </c>
    </row>
    <row r="321" spans="1:17">
      <c r="A321" s="11" t="s">
        <v>527</v>
      </c>
      <c r="B321" s="11" t="s">
        <v>205</v>
      </c>
      <c r="C321" s="11" t="s">
        <v>30</v>
      </c>
      <c r="D321" s="11">
        <v>20</v>
      </c>
      <c r="E321" s="11" t="s">
        <v>48</v>
      </c>
      <c r="F321" s="11" t="s">
        <v>105</v>
      </c>
      <c r="G321" s="11">
        <v>91</v>
      </c>
      <c r="H321" s="11">
        <v>5.4</v>
      </c>
      <c r="I321" s="11">
        <v>76</v>
      </c>
      <c r="J321" s="11">
        <v>69</v>
      </c>
      <c r="K321" s="11">
        <v>82</v>
      </c>
      <c r="L321" s="11">
        <v>76</v>
      </c>
      <c r="M321" s="11">
        <v>61</v>
      </c>
      <c r="N321" s="12">
        <f t="shared" si="16"/>
        <v>364</v>
      </c>
      <c r="O321" s="13">
        <f t="shared" si="17"/>
        <v>72.8</v>
      </c>
      <c r="P321" s="12" t="str">
        <f t="shared" si="18"/>
        <v>Improvement</v>
      </c>
      <c r="Q321" s="12" t="str">
        <f t="shared" si="19"/>
        <v>Good</v>
      </c>
    </row>
    <row r="322" spans="1:17">
      <c r="A322" s="11" t="s">
        <v>528</v>
      </c>
      <c r="B322" s="11" t="s">
        <v>205</v>
      </c>
      <c r="C322" s="11" t="s">
        <v>30</v>
      </c>
      <c r="D322" s="11">
        <v>21</v>
      </c>
      <c r="E322" s="11" t="s">
        <v>20</v>
      </c>
      <c r="F322" s="11" t="s">
        <v>21</v>
      </c>
      <c r="G322" s="11">
        <v>86</v>
      </c>
      <c r="H322" s="11">
        <v>4.6</v>
      </c>
      <c r="I322" s="11">
        <v>65</v>
      </c>
      <c r="J322" s="11">
        <v>50</v>
      </c>
      <c r="K322" s="11">
        <v>56</v>
      </c>
      <c r="L322" s="11">
        <v>70</v>
      </c>
      <c r="M322" s="11">
        <v>64</v>
      </c>
      <c r="N322" s="12">
        <f t="shared" ref="N322:N385" si="20">SUM(I322:M322)</f>
        <v>305</v>
      </c>
      <c r="O322" s="13">
        <f t="shared" ref="O322:O385" si="21">AVERAGE(N322/5)</f>
        <v>61</v>
      </c>
      <c r="P322" s="12" t="str">
        <f t="shared" ref="P322:P385" si="22">IF(N322&gt;=400,"TopPerformer","Improvement")</f>
        <v>Improvement</v>
      </c>
      <c r="Q322" s="12" t="str">
        <f t="shared" ref="Q322:Q385" si="23">IF(N322&gt;=400,"Excellent",IF(N322&gt;=300,"Good",IF(N322&gt;=200,"Bad","Very Bad")))</f>
        <v>Good</v>
      </c>
    </row>
    <row r="323" spans="1:17">
      <c r="A323" s="11" t="s">
        <v>529</v>
      </c>
      <c r="B323" s="11" t="s">
        <v>329</v>
      </c>
      <c r="C323" s="11" t="s">
        <v>19</v>
      </c>
      <c r="D323" s="11">
        <v>19</v>
      </c>
      <c r="E323" s="11" t="s">
        <v>34</v>
      </c>
      <c r="F323" s="11" t="s">
        <v>31</v>
      </c>
      <c r="G323" s="11">
        <v>82</v>
      </c>
      <c r="H323" s="11">
        <v>4.8</v>
      </c>
      <c r="I323" s="11">
        <v>63</v>
      </c>
      <c r="J323" s="11">
        <v>61</v>
      </c>
      <c r="K323" s="11">
        <v>50</v>
      </c>
      <c r="L323" s="11">
        <v>56</v>
      </c>
      <c r="M323" s="11">
        <v>76</v>
      </c>
      <c r="N323" s="12">
        <f t="shared" si="20"/>
        <v>306</v>
      </c>
      <c r="O323" s="13">
        <f t="shared" si="21"/>
        <v>61.2</v>
      </c>
      <c r="P323" s="12" t="str">
        <f t="shared" si="22"/>
        <v>Improvement</v>
      </c>
      <c r="Q323" s="12" t="str">
        <f t="shared" si="23"/>
        <v>Good</v>
      </c>
    </row>
    <row r="324" spans="1:17">
      <c r="A324" s="11" t="s">
        <v>530</v>
      </c>
      <c r="B324" s="11" t="s">
        <v>531</v>
      </c>
      <c r="C324" s="11" t="s">
        <v>19</v>
      </c>
      <c r="D324" s="11">
        <v>20</v>
      </c>
      <c r="E324" s="11" t="s">
        <v>34</v>
      </c>
      <c r="F324" s="11" t="s">
        <v>64</v>
      </c>
      <c r="G324" s="11">
        <v>80</v>
      </c>
      <c r="H324" s="11">
        <v>6.1</v>
      </c>
      <c r="I324" s="11">
        <v>82</v>
      </c>
      <c r="J324" s="11">
        <v>75</v>
      </c>
      <c r="K324" s="11">
        <v>75</v>
      </c>
      <c r="L324" s="11">
        <v>61</v>
      </c>
      <c r="M324" s="11">
        <v>79</v>
      </c>
      <c r="N324" s="12">
        <f t="shared" si="20"/>
        <v>372</v>
      </c>
      <c r="O324" s="13">
        <f t="shared" si="21"/>
        <v>74.4</v>
      </c>
      <c r="P324" s="12" t="str">
        <f t="shared" si="22"/>
        <v>Improvement</v>
      </c>
      <c r="Q324" s="12" t="str">
        <f t="shared" si="23"/>
        <v>Good</v>
      </c>
    </row>
    <row r="325" spans="1:17">
      <c r="A325" s="11" t="s">
        <v>532</v>
      </c>
      <c r="B325" s="11" t="s">
        <v>457</v>
      </c>
      <c r="C325" s="11" t="s">
        <v>19</v>
      </c>
      <c r="D325" s="11">
        <v>18</v>
      </c>
      <c r="E325" s="11" t="s">
        <v>20</v>
      </c>
      <c r="F325" s="11" t="s">
        <v>21</v>
      </c>
      <c r="G325" s="11">
        <v>83</v>
      </c>
      <c r="H325" s="11">
        <v>4.3</v>
      </c>
      <c r="I325" s="11">
        <v>69</v>
      </c>
      <c r="J325" s="11">
        <v>63</v>
      </c>
      <c r="K325" s="11">
        <v>60</v>
      </c>
      <c r="L325" s="11">
        <v>78</v>
      </c>
      <c r="M325" s="11">
        <v>74</v>
      </c>
      <c r="N325" s="12">
        <f t="shared" si="20"/>
        <v>344</v>
      </c>
      <c r="O325" s="13">
        <f t="shared" si="21"/>
        <v>68.8</v>
      </c>
      <c r="P325" s="12" t="str">
        <f t="shared" si="22"/>
        <v>Improvement</v>
      </c>
      <c r="Q325" s="12" t="str">
        <f t="shared" si="23"/>
        <v>Good</v>
      </c>
    </row>
    <row r="326" spans="1:17">
      <c r="A326" s="11" t="s">
        <v>533</v>
      </c>
      <c r="B326" s="11" t="s">
        <v>471</v>
      </c>
      <c r="C326" s="11" t="s">
        <v>30</v>
      </c>
      <c r="D326" s="11">
        <v>20</v>
      </c>
      <c r="E326" s="11" t="s">
        <v>20</v>
      </c>
      <c r="F326" s="11" t="s">
        <v>64</v>
      </c>
      <c r="G326" s="11">
        <v>71</v>
      </c>
      <c r="H326" s="11">
        <v>5.4</v>
      </c>
      <c r="I326" s="11">
        <v>64</v>
      </c>
      <c r="J326" s="11">
        <v>54</v>
      </c>
      <c r="K326" s="11">
        <v>55</v>
      </c>
      <c r="L326" s="11">
        <v>60</v>
      </c>
      <c r="M326" s="11">
        <v>61</v>
      </c>
      <c r="N326" s="12">
        <f t="shared" si="20"/>
        <v>294</v>
      </c>
      <c r="O326" s="13">
        <f t="shared" si="21"/>
        <v>58.8</v>
      </c>
      <c r="P326" s="12" t="str">
        <f t="shared" si="22"/>
        <v>Improvement</v>
      </c>
      <c r="Q326" s="12" t="str">
        <f t="shared" si="23"/>
        <v>Bad</v>
      </c>
    </row>
    <row r="327" spans="1:17">
      <c r="A327" s="11" t="s">
        <v>534</v>
      </c>
      <c r="B327" s="11" t="s">
        <v>535</v>
      </c>
      <c r="C327" s="11" t="s">
        <v>30</v>
      </c>
      <c r="D327" s="11">
        <v>21</v>
      </c>
      <c r="E327" s="11" t="s">
        <v>38</v>
      </c>
      <c r="F327" s="11" t="s">
        <v>21</v>
      </c>
      <c r="G327" s="11">
        <v>70</v>
      </c>
      <c r="H327" s="11">
        <v>3.5</v>
      </c>
      <c r="I327" s="11">
        <v>83</v>
      </c>
      <c r="J327" s="11">
        <v>76</v>
      </c>
      <c r="K327" s="11">
        <v>61</v>
      </c>
      <c r="L327" s="11">
        <v>74</v>
      </c>
      <c r="M327" s="11">
        <v>77</v>
      </c>
      <c r="N327" s="12">
        <f t="shared" si="20"/>
        <v>371</v>
      </c>
      <c r="O327" s="13">
        <f t="shared" si="21"/>
        <v>74.2</v>
      </c>
      <c r="P327" s="12" t="str">
        <f t="shared" si="22"/>
        <v>Improvement</v>
      </c>
      <c r="Q327" s="12" t="str">
        <f t="shared" si="23"/>
        <v>Good</v>
      </c>
    </row>
    <row r="328" spans="1:17">
      <c r="A328" s="11" t="s">
        <v>536</v>
      </c>
      <c r="B328" s="11" t="s">
        <v>537</v>
      </c>
      <c r="C328" s="11" t="s">
        <v>30</v>
      </c>
      <c r="D328" s="11">
        <v>20</v>
      </c>
      <c r="E328" s="11" t="s">
        <v>38</v>
      </c>
      <c r="F328" s="11" t="s">
        <v>31</v>
      </c>
      <c r="G328" s="11">
        <v>81</v>
      </c>
      <c r="H328" s="11">
        <v>2.9</v>
      </c>
      <c r="I328" s="11">
        <v>50</v>
      </c>
      <c r="J328" s="11">
        <v>49</v>
      </c>
      <c r="K328" s="11">
        <v>52</v>
      </c>
      <c r="L328" s="11">
        <v>36</v>
      </c>
      <c r="M328" s="11">
        <v>52</v>
      </c>
      <c r="N328" s="12">
        <f t="shared" si="20"/>
        <v>239</v>
      </c>
      <c r="O328" s="13">
        <f t="shared" si="21"/>
        <v>47.8</v>
      </c>
      <c r="P328" s="12" t="str">
        <f t="shared" si="22"/>
        <v>Improvement</v>
      </c>
      <c r="Q328" s="12" t="str">
        <f t="shared" si="23"/>
        <v>Bad</v>
      </c>
    </row>
    <row r="329" spans="1:17">
      <c r="A329" s="11" t="s">
        <v>538</v>
      </c>
      <c r="B329" s="11" t="s">
        <v>404</v>
      </c>
      <c r="C329" s="11" t="s">
        <v>19</v>
      </c>
      <c r="D329" s="11">
        <v>22</v>
      </c>
      <c r="E329" s="11" t="s">
        <v>38</v>
      </c>
      <c r="F329" s="11" t="s">
        <v>44</v>
      </c>
      <c r="G329" s="11">
        <v>84</v>
      </c>
      <c r="H329" s="11">
        <v>6.8</v>
      </c>
      <c r="I329" s="11">
        <v>71</v>
      </c>
      <c r="J329" s="11">
        <v>63</v>
      </c>
      <c r="K329" s="11">
        <v>65</v>
      </c>
      <c r="L329" s="11">
        <v>69</v>
      </c>
      <c r="M329" s="11">
        <v>80</v>
      </c>
      <c r="N329" s="12">
        <f t="shared" si="20"/>
        <v>348</v>
      </c>
      <c r="O329" s="13">
        <f t="shared" si="21"/>
        <v>69.6</v>
      </c>
      <c r="P329" s="12" t="str">
        <f t="shared" si="22"/>
        <v>Improvement</v>
      </c>
      <c r="Q329" s="12" t="str">
        <f t="shared" si="23"/>
        <v>Good</v>
      </c>
    </row>
    <row r="330" spans="1:17">
      <c r="A330" s="11" t="s">
        <v>539</v>
      </c>
      <c r="B330" s="11" t="s">
        <v>156</v>
      </c>
      <c r="C330" s="11" t="s">
        <v>30</v>
      </c>
      <c r="D330" s="11">
        <v>22</v>
      </c>
      <c r="E330" s="11" t="s">
        <v>34</v>
      </c>
      <c r="F330" s="11" t="s">
        <v>39</v>
      </c>
      <c r="G330" s="11">
        <v>100</v>
      </c>
      <c r="H330" s="11">
        <v>3.2</v>
      </c>
      <c r="I330" s="11">
        <v>48</v>
      </c>
      <c r="J330" s="11">
        <v>73</v>
      </c>
      <c r="K330" s="11">
        <v>70</v>
      </c>
      <c r="L330" s="11">
        <v>81</v>
      </c>
      <c r="M330" s="11">
        <v>51</v>
      </c>
      <c r="N330" s="12">
        <f t="shared" si="20"/>
        <v>323</v>
      </c>
      <c r="O330" s="13">
        <f t="shared" si="21"/>
        <v>64.6</v>
      </c>
      <c r="P330" s="12" t="str">
        <f t="shared" si="22"/>
        <v>Improvement</v>
      </c>
      <c r="Q330" s="12" t="str">
        <f t="shared" si="23"/>
        <v>Good</v>
      </c>
    </row>
    <row r="331" spans="1:17">
      <c r="A331" s="11" t="s">
        <v>540</v>
      </c>
      <c r="B331" s="11" t="s">
        <v>336</v>
      </c>
      <c r="C331" s="11" t="s">
        <v>30</v>
      </c>
      <c r="D331" s="11">
        <v>21</v>
      </c>
      <c r="E331" s="11" t="s">
        <v>20</v>
      </c>
      <c r="F331" s="11" t="s">
        <v>39</v>
      </c>
      <c r="G331" s="11">
        <v>67</v>
      </c>
      <c r="H331" s="11">
        <v>6</v>
      </c>
      <c r="I331" s="11">
        <v>75</v>
      </c>
      <c r="J331" s="11">
        <v>80</v>
      </c>
      <c r="K331" s="11">
        <v>69</v>
      </c>
      <c r="L331" s="11">
        <v>71</v>
      </c>
      <c r="M331" s="11">
        <v>72</v>
      </c>
      <c r="N331" s="12">
        <f t="shared" si="20"/>
        <v>367</v>
      </c>
      <c r="O331" s="13">
        <f t="shared" si="21"/>
        <v>73.4</v>
      </c>
      <c r="P331" s="12" t="str">
        <f t="shared" si="22"/>
        <v>Improvement</v>
      </c>
      <c r="Q331" s="12" t="str">
        <f t="shared" si="23"/>
        <v>Good</v>
      </c>
    </row>
    <row r="332" spans="1:17">
      <c r="A332" s="11" t="s">
        <v>541</v>
      </c>
      <c r="B332" s="11" t="s">
        <v>329</v>
      </c>
      <c r="C332" s="11" t="s">
        <v>19</v>
      </c>
      <c r="D332" s="11">
        <v>18</v>
      </c>
      <c r="E332" s="11" t="s">
        <v>27</v>
      </c>
      <c r="F332" s="11" t="s">
        <v>31</v>
      </c>
      <c r="G332" s="11">
        <v>89</v>
      </c>
      <c r="H332" s="11">
        <v>5.6</v>
      </c>
      <c r="I332" s="11">
        <v>71</v>
      </c>
      <c r="J332" s="11">
        <v>66</v>
      </c>
      <c r="K332" s="11">
        <v>71</v>
      </c>
      <c r="L332" s="11">
        <v>63</v>
      </c>
      <c r="M332" s="11">
        <v>61</v>
      </c>
      <c r="N332" s="12">
        <f t="shared" si="20"/>
        <v>332</v>
      </c>
      <c r="O332" s="13">
        <f t="shared" si="21"/>
        <v>66.4</v>
      </c>
      <c r="P332" s="12" t="str">
        <f t="shared" si="22"/>
        <v>Improvement</v>
      </c>
      <c r="Q332" s="12" t="str">
        <f t="shared" si="23"/>
        <v>Good</v>
      </c>
    </row>
    <row r="333" spans="1:17">
      <c r="A333" s="11" t="s">
        <v>542</v>
      </c>
      <c r="B333" s="11" t="s">
        <v>422</v>
      </c>
      <c r="C333" s="11" t="s">
        <v>30</v>
      </c>
      <c r="D333" s="11">
        <v>22</v>
      </c>
      <c r="E333" s="11" t="s">
        <v>48</v>
      </c>
      <c r="F333" s="11" t="s">
        <v>52</v>
      </c>
      <c r="G333" s="11">
        <v>82</v>
      </c>
      <c r="H333" s="11">
        <v>2.4</v>
      </c>
      <c r="I333" s="11">
        <v>72</v>
      </c>
      <c r="J333" s="11">
        <v>73</v>
      </c>
      <c r="K333" s="11">
        <v>77</v>
      </c>
      <c r="L333" s="11">
        <v>62</v>
      </c>
      <c r="M333" s="11">
        <v>66</v>
      </c>
      <c r="N333" s="12">
        <f t="shared" si="20"/>
        <v>350</v>
      </c>
      <c r="O333" s="13">
        <f t="shared" si="21"/>
        <v>70</v>
      </c>
      <c r="P333" s="12" t="str">
        <f t="shared" si="22"/>
        <v>Improvement</v>
      </c>
      <c r="Q333" s="12" t="str">
        <f t="shared" si="23"/>
        <v>Good</v>
      </c>
    </row>
    <row r="334" spans="1:17">
      <c r="A334" s="11" t="s">
        <v>543</v>
      </c>
      <c r="B334" s="11" t="s">
        <v>160</v>
      </c>
      <c r="C334" s="11" t="s">
        <v>30</v>
      </c>
      <c r="D334" s="11">
        <v>18</v>
      </c>
      <c r="E334" s="11" t="s">
        <v>27</v>
      </c>
      <c r="F334" s="11" t="s">
        <v>44</v>
      </c>
      <c r="G334" s="11">
        <v>94</v>
      </c>
      <c r="H334" s="11">
        <v>4.2</v>
      </c>
      <c r="I334" s="11">
        <v>47</v>
      </c>
      <c r="J334" s="11">
        <v>72</v>
      </c>
      <c r="K334" s="11">
        <v>58</v>
      </c>
      <c r="L334" s="11">
        <v>54</v>
      </c>
      <c r="M334" s="11">
        <v>57</v>
      </c>
      <c r="N334" s="12">
        <f t="shared" si="20"/>
        <v>288</v>
      </c>
      <c r="O334" s="13">
        <f t="shared" si="21"/>
        <v>57.6</v>
      </c>
      <c r="P334" s="12" t="str">
        <f t="shared" si="22"/>
        <v>Improvement</v>
      </c>
      <c r="Q334" s="12" t="str">
        <f t="shared" si="23"/>
        <v>Bad</v>
      </c>
    </row>
    <row r="335" spans="1:17">
      <c r="A335" s="11" t="s">
        <v>544</v>
      </c>
      <c r="B335" s="11" t="s">
        <v>120</v>
      </c>
      <c r="C335" s="11" t="s">
        <v>19</v>
      </c>
      <c r="D335" s="11">
        <v>22</v>
      </c>
      <c r="E335" s="11" t="s">
        <v>24</v>
      </c>
      <c r="F335" s="11" t="s">
        <v>31</v>
      </c>
      <c r="G335" s="11">
        <v>94</v>
      </c>
      <c r="H335" s="11">
        <v>3.9</v>
      </c>
      <c r="I335" s="11">
        <v>79</v>
      </c>
      <c r="J335" s="11">
        <v>84</v>
      </c>
      <c r="K335" s="11">
        <v>83</v>
      </c>
      <c r="L335" s="11">
        <v>82</v>
      </c>
      <c r="M335" s="11">
        <v>80</v>
      </c>
      <c r="N335" s="12">
        <f t="shared" si="20"/>
        <v>408</v>
      </c>
      <c r="O335" s="13">
        <f t="shared" si="21"/>
        <v>81.6</v>
      </c>
      <c r="P335" s="12" t="str">
        <f t="shared" si="22"/>
        <v>TopPerformer</v>
      </c>
      <c r="Q335" s="12" t="str">
        <f t="shared" si="23"/>
        <v>Excellent</v>
      </c>
    </row>
    <row r="336" spans="1:17">
      <c r="A336" s="11" t="s">
        <v>545</v>
      </c>
      <c r="B336" s="11" t="s">
        <v>274</v>
      </c>
      <c r="C336" s="11" t="s">
        <v>30</v>
      </c>
      <c r="D336" s="11">
        <v>18</v>
      </c>
      <c r="E336" s="11" t="s">
        <v>38</v>
      </c>
      <c r="F336" s="11" t="s">
        <v>35</v>
      </c>
      <c r="G336" s="11">
        <v>82</v>
      </c>
      <c r="H336" s="11">
        <v>3.8</v>
      </c>
      <c r="I336" s="11">
        <v>64</v>
      </c>
      <c r="J336" s="11">
        <v>70</v>
      </c>
      <c r="K336" s="11">
        <v>66</v>
      </c>
      <c r="L336" s="11">
        <v>54</v>
      </c>
      <c r="M336" s="11">
        <v>67</v>
      </c>
      <c r="N336" s="12">
        <f t="shared" si="20"/>
        <v>321</v>
      </c>
      <c r="O336" s="13">
        <f t="shared" si="21"/>
        <v>64.2</v>
      </c>
      <c r="P336" s="12" t="str">
        <f t="shared" si="22"/>
        <v>Improvement</v>
      </c>
      <c r="Q336" s="12" t="str">
        <f t="shared" si="23"/>
        <v>Good</v>
      </c>
    </row>
    <row r="337" spans="1:17">
      <c r="A337" s="11" t="s">
        <v>546</v>
      </c>
      <c r="B337" s="11" t="s">
        <v>547</v>
      </c>
      <c r="C337" s="11" t="s">
        <v>30</v>
      </c>
      <c r="D337" s="11">
        <v>20</v>
      </c>
      <c r="E337" s="11" t="s">
        <v>20</v>
      </c>
      <c r="F337" s="11" t="s">
        <v>105</v>
      </c>
      <c r="G337" s="11">
        <v>86</v>
      </c>
      <c r="H337" s="11">
        <v>4.6</v>
      </c>
      <c r="I337" s="11">
        <v>57</v>
      </c>
      <c r="J337" s="11">
        <v>61</v>
      </c>
      <c r="K337" s="11">
        <v>88</v>
      </c>
      <c r="L337" s="11">
        <v>64</v>
      </c>
      <c r="M337" s="11">
        <v>77</v>
      </c>
      <c r="N337" s="12">
        <f t="shared" si="20"/>
        <v>347</v>
      </c>
      <c r="O337" s="13">
        <f t="shared" si="21"/>
        <v>69.4</v>
      </c>
      <c r="P337" s="12" t="str">
        <f t="shared" si="22"/>
        <v>Improvement</v>
      </c>
      <c r="Q337" s="12" t="str">
        <f t="shared" si="23"/>
        <v>Good</v>
      </c>
    </row>
    <row r="338" spans="1:17">
      <c r="A338" s="11" t="s">
        <v>548</v>
      </c>
      <c r="B338" s="11" t="s">
        <v>43</v>
      </c>
      <c r="C338" s="11" t="s">
        <v>19</v>
      </c>
      <c r="D338" s="11">
        <v>19</v>
      </c>
      <c r="E338" s="11" t="s">
        <v>24</v>
      </c>
      <c r="F338" s="11" t="s">
        <v>105</v>
      </c>
      <c r="G338" s="11">
        <v>87</v>
      </c>
      <c r="H338" s="11">
        <v>4</v>
      </c>
      <c r="I338" s="11">
        <v>55</v>
      </c>
      <c r="J338" s="11">
        <v>65</v>
      </c>
      <c r="K338" s="11">
        <v>53</v>
      </c>
      <c r="L338" s="11">
        <v>66</v>
      </c>
      <c r="M338" s="11">
        <v>84</v>
      </c>
      <c r="N338" s="12">
        <f t="shared" si="20"/>
        <v>323</v>
      </c>
      <c r="O338" s="13">
        <f t="shared" si="21"/>
        <v>64.6</v>
      </c>
      <c r="P338" s="12" t="str">
        <f t="shared" si="22"/>
        <v>Improvement</v>
      </c>
      <c r="Q338" s="12" t="str">
        <f t="shared" si="23"/>
        <v>Good</v>
      </c>
    </row>
    <row r="339" spans="1:17">
      <c r="A339" s="11" t="s">
        <v>549</v>
      </c>
      <c r="B339" s="11" t="s">
        <v>112</v>
      </c>
      <c r="C339" s="11" t="s">
        <v>19</v>
      </c>
      <c r="D339" s="11">
        <v>22</v>
      </c>
      <c r="E339" s="11" t="s">
        <v>38</v>
      </c>
      <c r="F339" s="11" t="s">
        <v>21</v>
      </c>
      <c r="G339" s="11">
        <v>64</v>
      </c>
      <c r="H339" s="11">
        <v>1.8</v>
      </c>
      <c r="I339" s="11">
        <v>55</v>
      </c>
      <c r="J339" s="11">
        <v>56</v>
      </c>
      <c r="K339" s="11">
        <v>60</v>
      </c>
      <c r="L339" s="11">
        <v>53</v>
      </c>
      <c r="M339" s="11">
        <v>51</v>
      </c>
      <c r="N339" s="12">
        <f t="shared" si="20"/>
        <v>275</v>
      </c>
      <c r="O339" s="13">
        <f t="shared" si="21"/>
        <v>55</v>
      </c>
      <c r="P339" s="12" t="str">
        <f t="shared" si="22"/>
        <v>Improvement</v>
      </c>
      <c r="Q339" s="12" t="str">
        <f t="shared" si="23"/>
        <v>Bad</v>
      </c>
    </row>
    <row r="340" spans="1:17">
      <c r="A340" s="11" t="s">
        <v>550</v>
      </c>
      <c r="B340" s="11" t="s">
        <v>212</v>
      </c>
      <c r="C340" s="11" t="s">
        <v>30</v>
      </c>
      <c r="D340" s="11">
        <v>21</v>
      </c>
      <c r="E340" s="11" t="s">
        <v>20</v>
      </c>
      <c r="F340" s="11" t="s">
        <v>35</v>
      </c>
      <c r="G340" s="11">
        <v>74</v>
      </c>
      <c r="H340" s="11">
        <v>4.6</v>
      </c>
      <c r="I340" s="11">
        <v>63</v>
      </c>
      <c r="J340" s="11">
        <v>69</v>
      </c>
      <c r="K340" s="11">
        <v>63</v>
      </c>
      <c r="L340" s="11">
        <v>62</v>
      </c>
      <c r="M340" s="11">
        <v>68</v>
      </c>
      <c r="N340" s="12">
        <f t="shared" si="20"/>
        <v>325</v>
      </c>
      <c r="O340" s="13">
        <f t="shared" si="21"/>
        <v>65</v>
      </c>
      <c r="P340" s="12" t="str">
        <f t="shared" si="22"/>
        <v>Improvement</v>
      </c>
      <c r="Q340" s="12" t="str">
        <f t="shared" si="23"/>
        <v>Good</v>
      </c>
    </row>
    <row r="341" spans="1:17">
      <c r="A341" s="11" t="s">
        <v>551</v>
      </c>
      <c r="B341" s="11" t="s">
        <v>142</v>
      </c>
      <c r="C341" s="11" t="s">
        <v>30</v>
      </c>
      <c r="D341" s="11">
        <v>18</v>
      </c>
      <c r="E341" s="11" t="s">
        <v>34</v>
      </c>
      <c r="F341" s="11" t="s">
        <v>39</v>
      </c>
      <c r="G341" s="11">
        <v>74</v>
      </c>
      <c r="H341" s="11">
        <v>2.5</v>
      </c>
      <c r="I341" s="11">
        <v>66</v>
      </c>
      <c r="J341" s="11">
        <v>66</v>
      </c>
      <c r="K341" s="11">
        <v>65</v>
      </c>
      <c r="L341" s="11">
        <v>63</v>
      </c>
      <c r="M341" s="11">
        <v>68</v>
      </c>
      <c r="N341" s="12">
        <f t="shared" si="20"/>
        <v>328</v>
      </c>
      <c r="O341" s="13">
        <f t="shared" si="21"/>
        <v>65.6</v>
      </c>
      <c r="P341" s="12" t="str">
        <f t="shared" si="22"/>
        <v>Improvement</v>
      </c>
      <c r="Q341" s="12" t="str">
        <f t="shared" si="23"/>
        <v>Good</v>
      </c>
    </row>
    <row r="342" spans="1:17">
      <c r="A342" s="11" t="s">
        <v>552</v>
      </c>
      <c r="B342" s="11" t="s">
        <v>43</v>
      </c>
      <c r="C342" s="11" t="s">
        <v>19</v>
      </c>
      <c r="D342" s="11">
        <v>22</v>
      </c>
      <c r="E342" s="11" t="s">
        <v>24</v>
      </c>
      <c r="F342" s="11" t="s">
        <v>31</v>
      </c>
      <c r="G342" s="11">
        <v>94</v>
      </c>
      <c r="H342" s="11">
        <v>4.1</v>
      </c>
      <c r="I342" s="11">
        <v>75</v>
      </c>
      <c r="J342" s="11">
        <v>74</v>
      </c>
      <c r="K342" s="11">
        <v>67</v>
      </c>
      <c r="L342" s="11">
        <v>78</v>
      </c>
      <c r="M342" s="11">
        <v>95</v>
      </c>
      <c r="N342" s="12">
        <f t="shared" si="20"/>
        <v>389</v>
      </c>
      <c r="O342" s="13">
        <f t="shared" si="21"/>
        <v>77.8</v>
      </c>
      <c r="P342" s="12" t="str">
        <f t="shared" si="22"/>
        <v>Improvement</v>
      </c>
      <c r="Q342" s="12" t="str">
        <f t="shared" si="23"/>
        <v>Good</v>
      </c>
    </row>
    <row r="343" spans="1:17">
      <c r="A343" s="11" t="s">
        <v>553</v>
      </c>
      <c r="B343" s="11" t="s">
        <v>438</v>
      </c>
      <c r="C343" s="11" t="s">
        <v>30</v>
      </c>
      <c r="D343" s="11">
        <v>18</v>
      </c>
      <c r="E343" s="11" t="s">
        <v>24</v>
      </c>
      <c r="F343" s="11" t="s">
        <v>64</v>
      </c>
      <c r="G343" s="11">
        <v>77</v>
      </c>
      <c r="H343" s="11">
        <v>6.1</v>
      </c>
      <c r="I343" s="11">
        <v>64</v>
      </c>
      <c r="J343" s="11">
        <v>55</v>
      </c>
      <c r="K343" s="11">
        <v>62</v>
      </c>
      <c r="L343" s="11">
        <v>54</v>
      </c>
      <c r="M343" s="11">
        <v>73</v>
      </c>
      <c r="N343" s="12">
        <f t="shared" si="20"/>
        <v>308</v>
      </c>
      <c r="O343" s="13">
        <f t="shared" si="21"/>
        <v>61.6</v>
      </c>
      <c r="P343" s="12" t="str">
        <f t="shared" si="22"/>
        <v>Improvement</v>
      </c>
      <c r="Q343" s="12" t="str">
        <f t="shared" si="23"/>
        <v>Good</v>
      </c>
    </row>
    <row r="344" spans="1:17">
      <c r="A344" s="11" t="s">
        <v>554</v>
      </c>
      <c r="B344" s="11" t="s">
        <v>555</v>
      </c>
      <c r="C344" s="11" t="s">
        <v>19</v>
      </c>
      <c r="D344" s="11">
        <v>20</v>
      </c>
      <c r="E344" s="11" t="s">
        <v>20</v>
      </c>
      <c r="F344" s="11" t="s">
        <v>44</v>
      </c>
      <c r="G344" s="11">
        <v>90</v>
      </c>
      <c r="H344" s="11">
        <v>2.7</v>
      </c>
      <c r="I344" s="11">
        <v>68</v>
      </c>
      <c r="J344" s="11">
        <v>66</v>
      </c>
      <c r="K344" s="11">
        <v>69</v>
      </c>
      <c r="L344" s="11">
        <v>77</v>
      </c>
      <c r="M344" s="11">
        <v>69</v>
      </c>
      <c r="N344" s="12">
        <f t="shared" si="20"/>
        <v>349</v>
      </c>
      <c r="O344" s="13">
        <f t="shared" si="21"/>
        <v>69.8</v>
      </c>
      <c r="P344" s="12" t="str">
        <f t="shared" si="22"/>
        <v>Improvement</v>
      </c>
      <c r="Q344" s="12" t="str">
        <f t="shared" si="23"/>
        <v>Good</v>
      </c>
    </row>
    <row r="345" spans="1:17">
      <c r="A345" s="11" t="s">
        <v>556</v>
      </c>
      <c r="B345" s="11" t="s">
        <v>224</v>
      </c>
      <c r="C345" s="11" t="s">
        <v>30</v>
      </c>
      <c r="D345" s="11">
        <v>18</v>
      </c>
      <c r="E345" s="11" t="s">
        <v>24</v>
      </c>
      <c r="F345" s="11" t="s">
        <v>52</v>
      </c>
      <c r="G345" s="11">
        <v>80</v>
      </c>
      <c r="H345" s="11">
        <v>1.9</v>
      </c>
      <c r="I345" s="11">
        <v>45</v>
      </c>
      <c r="J345" s="11">
        <v>55</v>
      </c>
      <c r="K345" s="11">
        <v>65</v>
      </c>
      <c r="L345" s="11">
        <v>61</v>
      </c>
      <c r="M345" s="11">
        <v>64</v>
      </c>
      <c r="N345" s="12">
        <f t="shared" si="20"/>
        <v>290</v>
      </c>
      <c r="O345" s="13">
        <f t="shared" si="21"/>
        <v>58</v>
      </c>
      <c r="P345" s="12" t="str">
        <f t="shared" si="22"/>
        <v>Improvement</v>
      </c>
      <c r="Q345" s="12" t="str">
        <f t="shared" si="23"/>
        <v>Bad</v>
      </c>
    </row>
    <row r="346" spans="1:17">
      <c r="A346" s="11" t="s">
        <v>557</v>
      </c>
      <c r="B346" s="11" t="s">
        <v>451</v>
      </c>
      <c r="C346" s="11" t="s">
        <v>30</v>
      </c>
      <c r="D346" s="11">
        <v>19</v>
      </c>
      <c r="E346" s="11" t="s">
        <v>24</v>
      </c>
      <c r="F346" s="11" t="s">
        <v>31</v>
      </c>
      <c r="G346" s="11">
        <v>86</v>
      </c>
      <c r="H346" s="11">
        <v>5.2</v>
      </c>
      <c r="I346" s="11">
        <v>72</v>
      </c>
      <c r="J346" s="11">
        <v>65</v>
      </c>
      <c r="K346" s="11">
        <v>79</v>
      </c>
      <c r="L346" s="11">
        <v>80</v>
      </c>
      <c r="M346" s="11">
        <v>85</v>
      </c>
      <c r="N346" s="12">
        <f t="shared" si="20"/>
        <v>381</v>
      </c>
      <c r="O346" s="13">
        <f t="shared" si="21"/>
        <v>76.2</v>
      </c>
      <c r="P346" s="12" t="str">
        <f t="shared" si="22"/>
        <v>Improvement</v>
      </c>
      <c r="Q346" s="12" t="str">
        <f t="shared" si="23"/>
        <v>Good</v>
      </c>
    </row>
    <row r="347" spans="1:17">
      <c r="A347" s="11" t="s">
        <v>558</v>
      </c>
      <c r="B347" s="11" t="s">
        <v>101</v>
      </c>
      <c r="C347" s="11" t="s">
        <v>19</v>
      </c>
      <c r="D347" s="11">
        <v>19</v>
      </c>
      <c r="E347" s="11" t="s">
        <v>34</v>
      </c>
      <c r="F347" s="11" t="s">
        <v>64</v>
      </c>
      <c r="G347" s="11">
        <v>81</v>
      </c>
      <c r="H347" s="11">
        <v>1</v>
      </c>
      <c r="I347" s="11">
        <v>41</v>
      </c>
      <c r="J347" s="11">
        <v>48</v>
      </c>
      <c r="K347" s="11">
        <v>66</v>
      </c>
      <c r="L347" s="11">
        <v>70</v>
      </c>
      <c r="M347" s="11">
        <v>46</v>
      </c>
      <c r="N347" s="12">
        <f t="shared" si="20"/>
        <v>271</v>
      </c>
      <c r="O347" s="13">
        <f t="shared" si="21"/>
        <v>54.2</v>
      </c>
      <c r="P347" s="12" t="str">
        <f t="shared" si="22"/>
        <v>Improvement</v>
      </c>
      <c r="Q347" s="12" t="str">
        <f t="shared" si="23"/>
        <v>Bad</v>
      </c>
    </row>
    <row r="348" spans="1:17">
      <c r="A348" s="11" t="s">
        <v>559</v>
      </c>
      <c r="B348" s="11" t="s">
        <v>219</v>
      </c>
      <c r="C348" s="11" t="s">
        <v>30</v>
      </c>
      <c r="D348" s="11">
        <v>18</v>
      </c>
      <c r="E348" s="11" t="s">
        <v>38</v>
      </c>
      <c r="F348" s="11" t="s">
        <v>52</v>
      </c>
      <c r="G348" s="11">
        <v>77</v>
      </c>
      <c r="H348" s="11">
        <v>3.1</v>
      </c>
      <c r="I348" s="11">
        <v>68</v>
      </c>
      <c r="J348" s="11">
        <v>77</v>
      </c>
      <c r="K348" s="11">
        <v>59</v>
      </c>
      <c r="L348" s="11">
        <v>70</v>
      </c>
      <c r="M348" s="11">
        <v>58</v>
      </c>
      <c r="N348" s="12">
        <f t="shared" si="20"/>
        <v>332</v>
      </c>
      <c r="O348" s="13">
        <f t="shared" si="21"/>
        <v>66.4</v>
      </c>
      <c r="P348" s="12" t="str">
        <f t="shared" si="22"/>
        <v>Improvement</v>
      </c>
      <c r="Q348" s="12" t="str">
        <f t="shared" si="23"/>
        <v>Good</v>
      </c>
    </row>
    <row r="349" spans="1:17">
      <c r="A349" s="11" t="s">
        <v>560</v>
      </c>
      <c r="B349" s="11" t="s">
        <v>561</v>
      </c>
      <c r="C349" s="11" t="s">
        <v>19</v>
      </c>
      <c r="D349" s="11">
        <v>20</v>
      </c>
      <c r="E349" s="11" t="s">
        <v>27</v>
      </c>
      <c r="F349" s="11" t="s">
        <v>105</v>
      </c>
      <c r="G349" s="11">
        <v>79</v>
      </c>
      <c r="H349" s="11">
        <v>2.7</v>
      </c>
      <c r="I349" s="11">
        <v>60</v>
      </c>
      <c r="J349" s="11">
        <v>65</v>
      </c>
      <c r="K349" s="11">
        <v>37</v>
      </c>
      <c r="L349" s="11">
        <v>51</v>
      </c>
      <c r="M349" s="11">
        <v>59</v>
      </c>
      <c r="N349" s="12">
        <f t="shared" si="20"/>
        <v>272</v>
      </c>
      <c r="O349" s="13">
        <f t="shared" si="21"/>
        <v>54.4</v>
      </c>
      <c r="P349" s="12" t="str">
        <f t="shared" si="22"/>
        <v>Improvement</v>
      </c>
      <c r="Q349" s="12" t="str">
        <f t="shared" si="23"/>
        <v>Bad</v>
      </c>
    </row>
    <row r="350" spans="1:17">
      <c r="A350" s="11" t="s">
        <v>562</v>
      </c>
      <c r="B350" s="11" t="s">
        <v>227</v>
      </c>
      <c r="C350" s="11" t="s">
        <v>30</v>
      </c>
      <c r="D350" s="11">
        <v>20</v>
      </c>
      <c r="E350" s="11" t="s">
        <v>34</v>
      </c>
      <c r="F350" s="11" t="s">
        <v>31</v>
      </c>
      <c r="G350" s="11">
        <v>79</v>
      </c>
      <c r="H350" s="11">
        <v>3</v>
      </c>
      <c r="I350" s="11">
        <v>68</v>
      </c>
      <c r="J350" s="11">
        <v>53</v>
      </c>
      <c r="K350" s="11">
        <v>58</v>
      </c>
      <c r="L350" s="11">
        <v>60</v>
      </c>
      <c r="M350" s="11">
        <v>71</v>
      </c>
      <c r="N350" s="12">
        <f t="shared" si="20"/>
        <v>310</v>
      </c>
      <c r="O350" s="13">
        <f t="shared" si="21"/>
        <v>62</v>
      </c>
      <c r="P350" s="12" t="str">
        <f t="shared" si="22"/>
        <v>Improvement</v>
      </c>
      <c r="Q350" s="12" t="str">
        <f t="shared" si="23"/>
        <v>Good</v>
      </c>
    </row>
    <row r="351" spans="1:17">
      <c r="A351" s="11" t="s">
        <v>563</v>
      </c>
      <c r="B351" s="11" t="s">
        <v>274</v>
      </c>
      <c r="C351" s="11" t="s">
        <v>19</v>
      </c>
      <c r="D351" s="11">
        <v>22</v>
      </c>
      <c r="E351" s="11" t="s">
        <v>20</v>
      </c>
      <c r="F351" s="11" t="s">
        <v>21</v>
      </c>
      <c r="G351" s="11">
        <v>81</v>
      </c>
      <c r="H351" s="11">
        <v>3.5</v>
      </c>
      <c r="I351" s="11">
        <v>58</v>
      </c>
      <c r="J351" s="11">
        <v>67</v>
      </c>
      <c r="K351" s="11">
        <v>62</v>
      </c>
      <c r="L351" s="11">
        <v>62</v>
      </c>
      <c r="M351" s="11">
        <v>52</v>
      </c>
      <c r="N351" s="12">
        <f t="shared" si="20"/>
        <v>301</v>
      </c>
      <c r="O351" s="13">
        <f t="shared" si="21"/>
        <v>60.2</v>
      </c>
      <c r="P351" s="12" t="str">
        <f t="shared" si="22"/>
        <v>Improvement</v>
      </c>
      <c r="Q351" s="12" t="str">
        <f t="shared" si="23"/>
        <v>Good</v>
      </c>
    </row>
    <row r="352" spans="1:17">
      <c r="A352" s="11" t="s">
        <v>564</v>
      </c>
      <c r="B352" s="11" t="s">
        <v>422</v>
      </c>
      <c r="C352" s="11" t="s">
        <v>30</v>
      </c>
      <c r="D352" s="11">
        <v>19</v>
      </c>
      <c r="E352" s="11" t="s">
        <v>20</v>
      </c>
      <c r="F352" s="11" t="s">
        <v>52</v>
      </c>
      <c r="G352" s="11">
        <v>75</v>
      </c>
      <c r="H352" s="11">
        <v>5.9</v>
      </c>
      <c r="I352" s="11">
        <v>78</v>
      </c>
      <c r="J352" s="11">
        <v>72</v>
      </c>
      <c r="K352" s="11">
        <v>71</v>
      </c>
      <c r="L352" s="11">
        <v>72</v>
      </c>
      <c r="M352" s="11">
        <v>62</v>
      </c>
      <c r="N352" s="12">
        <f t="shared" si="20"/>
        <v>355</v>
      </c>
      <c r="O352" s="13">
        <f t="shared" si="21"/>
        <v>71</v>
      </c>
      <c r="P352" s="12" t="str">
        <f t="shared" si="22"/>
        <v>Improvement</v>
      </c>
      <c r="Q352" s="12" t="str">
        <f t="shared" si="23"/>
        <v>Good</v>
      </c>
    </row>
    <row r="353" spans="1:17">
      <c r="A353" s="11" t="s">
        <v>565</v>
      </c>
      <c r="B353" s="11" t="s">
        <v>160</v>
      </c>
      <c r="C353" s="11" t="s">
        <v>19</v>
      </c>
      <c r="D353" s="11">
        <v>21</v>
      </c>
      <c r="E353" s="11" t="s">
        <v>38</v>
      </c>
      <c r="F353" s="11" t="s">
        <v>44</v>
      </c>
      <c r="G353" s="11">
        <v>82</v>
      </c>
      <c r="H353" s="11">
        <v>1</v>
      </c>
      <c r="I353" s="11">
        <v>74</v>
      </c>
      <c r="J353" s="11">
        <v>59</v>
      </c>
      <c r="K353" s="11">
        <v>46</v>
      </c>
      <c r="L353" s="11">
        <v>57</v>
      </c>
      <c r="M353" s="11">
        <v>46</v>
      </c>
      <c r="N353" s="12">
        <f t="shared" si="20"/>
        <v>282</v>
      </c>
      <c r="O353" s="13">
        <f t="shared" si="21"/>
        <v>56.4</v>
      </c>
      <c r="P353" s="12" t="str">
        <f t="shared" si="22"/>
        <v>Improvement</v>
      </c>
      <c r="Q353" s="12" t="str">
        <f t="shared" si="23"/>
        <v>Bad</v>
      </c>
    </row>
    <row r="354" spans="1:17">
      <c r="A354" s="11" t="s">
        <v>566</v>
      </c>
      <c r="B354" s="11" t="s">
        <v>555</v>
      </c>
      <c r="C354" s="11" t="s">
        <v>19</v>
      </c>
      <c r="D354" s="11">
        <v>19</v>
      </c>
      <c r="E354" s="11" t="s">
        <v>34</v>
      </c>
      <c r="F354" s="11" t="s">
        <v>52</v>
      </c>
      <c r="G354" s="11">
        <v>65</v>
      </c>
      <c r="H354" s="11">
        <v>2.1</v>
      </c>
      <c r="I354" s="11">
        <v>51</v>
      </c>
      <c r="J354" s="11">
        <v>57</v>
      </c>
      <c r="K354" s="11">
        <v>44</v>
      </c>
      <c r="L354" s="11">
        <v>59</v>
      </c>
      <c r="M354" s="11">
        <v>44</v>
      </c>
      <c r="N354" s="12">
        <f t="shared" si="20"/>
        <v>255</v>
      </c>
      <c r="O354" s="13">
        <f t="shared" si="21"/>
        <v>51</v>
      </c>
      <c r="P354" s="12" t="str">
        <f t="shared" si="22"/>
        <v>Improvement</v>
      </c>
      <c r="Q354" s="12" t="str">
        <f t="shared" si="23"/>
        <v>Bad</v>
      </c>
    </row>
    <row r="355" spans="1:17">
      <c r="A355" s="11" t="s">
        <v>567</v>
      </c>
      <c r="B355" s="11" t="s">
        <v>495</v>
      </c>
      <c r="C355" s="11" t="s">
        <v>19</v>
      </c>
      <c r="D355" s="11">
        <v>19</v>
      </c>
      <c r="E355" s="11" t="s">
        <v>24</v>
      </c>
      <c r="F355" s="11" t="s">
        <v>52</v>
      </c>
      <c r="G355" s="11">
        <v>85</v>
      </c>
      <c r="H355" s="11">
        <v>6.3</v>
      </c>
      <c r="I355" s="11">
        <v>82</v>
      </c>
      <c r="J355" s="11">
        <v>77</v>
      </c>
      <c r="K355" s="11">
        <v>69</v>
      </c>
      <c r="L355" s="11">
        <v>73</v>
      </c>
      <c r="M355" s="11">
        <v>67</v>
      </c>
      <c r="N355" s="12">
        <f t="shared" si="20"/>
        <v>368</v>
      </c>
      <c r="O355" s="13">
        <f t="shared" si="21"/>
        <v>73.6</v>
      </c>
      <c r="P355" s="12" t="str">
        <f t="shared" si="22"/>
        <v>Improvement</v>
      </c>
      <c r="Q355" s="12" t="str">
        <f t="shared" si="23"/>
        <v>Good</v>
      </c>
    </row>
    <row r="356" spans="1:17">
      <c r="A356" s="11" t="s">
        <v>568</v>
      </c>
      <c r="B356" s="11" t="s">
        <v>398</v>
      </c>
      <c r="C356" s="11" t="s">
        <v>19</v>
      </c>
      <c r="D356" s="11">
        <v>21</v>
      </c>
      <c r="E356" s="11" t="s">
        <v>20</v>
      </c>
      <c r="F356" s="11" t="s">
        <v>31</v>
      </c>
      <c r="G356" s="11">
        <v>71</v>
      </c>
      <c r="H356" s="11">
        <v>4.3</v>
      </c>
      <c r="I356" s="11">
        <v>57</v>
      </c>
      <c r="J356" s="11">
        <v>51</v>
      </c>
      <c r="K356" s="11">
        <v>66</v>
      </c>
      <c r="L356" s="11">
        <v>57</v>
      </c>
      <c r="M356" s="11">
        <v>65</v>
      </c>
      <c r="N356" s="12">
        <f t="shared" si="20"/>
        <v>296</v>
      </c>
      <c r="O356" s="13">
        <f t="shared" si="21"/>
        <v>59.2</v>
      </c>
      <c r="P356" s="12" t="str">
        <f t="shared" si="22"/>
        <v>Improvement</v>
      </c>
      <c r="Q356" s="12" t="str">
        <f t="shared" si="23"/>
        <v>Bad</v>
      </c>
    </row>
    <row r="357" spans="1:17">
      <c r="A357" s="11" t="s">
        <v>569</v>
      </c>
      <c r="B357" s="11" t="s">
        <v>385</v>
      </c>
      <c r="C357" s="11" t="s">
        <v>30</v>
      </c>
      <c r="D357" s="11">
        <v>21</v>
      </c>
      <c r="E357" s="11" t="s">
        <v>38</v>
      </c>
      <c r="F357" s="11" t="s">
        <v>44</v>
      </c>
      <c r="G357" s="11">
        <v>78</v>
      </c>
      <c r="H357" s="11">
        <v>3.4</v>
      </c>
      <c r="I357" s="11">
        <v>47</v>
      </c>
      <c r="J357" s="11">
        <v>45</v>
      </c>
      <c r="K357" s="11">
        <v>38</v>
      </c>
      <c r="L357" s="11">
        <v>48</v>
      </c>
      <c r="M357" s="11">
        <v>62</v>
      </c>
      <c r="N357" s="12">
        <f t="shared" si="20"/>
        <v>240</v>
      </c>
      <c r="O357" s="13">
        <f t="shared" si="21"/>
        <v>48</v>
      </c>
      <c r="P357" s="12" t="str">
        <f t="shared" si="22"/>
        <v>Improvement</v>
      </c>
      <c r="Q357" s="12" t="str">
        <f t="shared" si="23"/>
        <v>Bad</v>
      </c>
    </row>
    <row r="358" spans="1:17">
      <c r="A358" s="11" t="s">
        <v>570</v>
      </c>
      <c r="B358" s="11" t="s">
        <v>185</v>
      </c>
      <c r="C358" s="11" t="s">
        <v>19</v>
      </c>
      <c r="D358" s="11">
        <v>20</v>
      </c>
      <c r="E358" s="11" t="s">
        <v>27</v>
      </c>
      <c r="F358" s="11" t="s">
        <v>52</v>
      </c>
      <c r="G358" s="11">
        <v>76</v>
      </c>
      <c r="H358" s="11">
        <v>4.3</v>
      </c>
      <c r="I358" s="11">
        <v>75</v>
      </c>
      <c r="J358" s="11">
        <v>57</v>
      </c>
      <c r="K358" s="11">
        <v>68</v>
      </c>
      <c r="L358" s="11">
        <v>56</v>
      </c>
      <c r="M358" s="11">
        <v>89</v>
      </c>
      <c r="N358" s="12">
        <f t="shared" si="20"/>
        <v>345</v>
      </c>
      <c r="O358" s="13">
        <f t="shared" si="21"/>
        <v>69</v>
      </c>
      <c r="P358" s="12" t="str">
        <f t="shared" si="22"/>
        <v>Improvement</v>
      </c>
      <c r="Q358" s="12" t="str">
        <f t="shared" si="23"/>
        <v>Good</v>
      </c>
    </row>
    <row r="359" spans="1:17">
      <c r="A359" s="11" t="s">
        <v>571</v>
      </c>
      <c r="B359" s="11" t="s">
        <v>572</v>
      </c>
      <c r="C359" s="11" t="s">
        <v>30</v>
      </c>
      <c r="D359" s="11">
        <v>21</v>
      </c>
      <c r="E359" s="11" t="s">
        <v>34</v>
      </c>
      <c r="F359" s="11" t="s">
        <v>35</v>
      </c>
      <c r="G359" s="11">
        <v>68</v>
      </c>
      <c r="H359" s="11">
        <v>5.8</v>
      </c>
      <c r="I359" s="11">
        <v>82</v>
      </c>
      <c r="J359" s="11">
        <v>76</v>
      </c>
      <c r="K359" s="11">
        <v>68</v>
      </c>
      <c r="L359" s="11">
        <v>84</v>
      </c>
      <c r="M359" s="11">
        <v>84</v>
      </c>
      <c r="N359" s="12">
        <f t="shared" si="20"/>
        <v>394</v>
      </c>
      <c r="O359" s="13">
        <f t="shared" si="21"/>
        <v>78.8</v>
      </c>
      <c r="P359" s="12" t="str">
        <f t="shared" si="22"/>
        <v>Improvement</v>
      </c>
      <c r="Q359" s="12" t="str">
        <f t="shared" si="23"/>
        <v>Good</v>
      </c>
    </row>
    <row r="360" spans="1:17">
      <c r="A360" s="11" t="s">
        <v>573</v>
      </c>
      <c r="B360" s="11" t="s">
        <v>574</v>
      </c>
      <c r="C360" s="11" t="s">
        <v>19</v>
      </c>
      <c r="D360" s="11">
        <v>22</v>
      </c>
      <c r="E360" s="11" t="s">
        <v>34</v>
      </c>
      <c r="F360" s="11" t="s">
        <v>31</v>
      </c>
      <c r="G360" s="11">
        <v>84</v>
      </c>
      <c r="H360" s="11">
        <v>3.3</v>
      </c>
      <c r="I360" s="11">
        <v>60</v>
      </c>
      <c r="J360" s="11">
        <v>55</v>
      </c>
      <c r="K360" s="11">
        <v>62</v>
      </c>
      <c r="L360" s="11">
        <v>61</v>
      </c>
      <c r="M360" s="11">
        <v>44</v>
      </c>
      <c r="N360" s="12">
        <f t="shared" si="20"/>
        <v>282</v>
      </c>
      <c r="O360" s="13">
        <f t="shared" si="21"/>
        <v>56.4</v>
      </c>
      <c r="P360" s="12" t="str">
        <f t="shared" si="22"/>
        <v>Improvement</v>
      </c>
      <c r="Q360" s="12" t="str">
        <f t="shared" si="23"/>
        <v>Bad</v>
      </c>
    </row>
    <row r="361" spans="1:17">
      <c r="A361" s="11" t="s">
        <v>575</v>
      </c>
      <c r="B361" s="11" t="s">
        <v>576</v>
      </c>
      <c r="C361" s="11" t="s">
        <v>30</v>
      </c>
      <c r="D361" s="11">
        <v>20</v>
      </c>
      <c r="E361" s="11" t="s">
        <v>34</v>
      </c>
      <c r="F361" s="11" t="s">
        <v>105</v>
      </c>
      <c r="G361" s="11">
        <v>88</v>
      </c>
      <c r="H361" s="11">
        <v>4.3</v>
      </c>
      <c r="I361" s="11">
        <v>78</v>
      </c>
      <c r="J361" s="11">
        <v>77</v>
      </c>
      <c r="K361" s="11">
        <v>85</v>
      </c>
      <c r="L361" s="11">
        <v>79</v>
      </c>
      <c r="M361" s="11">
        <v>76</v>
      </c>
      <c r="N361" s="12">
        <f t="shared" si="20"/>
        <v>395</v>
      </c>
      <c r="O361" s="13">
        <f t="shared" si="21"/>
        <v>79</v>
      </c>
      <c r="P361" s="12" t="str">
        <f t="shared" si="22"/>
        <v>Improvement</v>
      </c>
      <c r="Q361" s="12" t="str">
        <f t="shared" si="23"/>
        <v>Good</v>
      </c>
    </row>
    <row r="362" spans="1:17">
      <c r="A362" s="11" t="s">
        <v>577</v>
      </c>
      <c r="B362" s="11" t="s">
        <v>134</v>
      </c>
      <c r="C362" s="11" t="s">
        <v>19</v>
      </c>
      <c r="D362" s="11">
        <v>19</v>
      </c>
      <c r="E362" s="11" t="s">
        <v>24</v>
      </c>
      <c r="F362" s="11" t="s">
        <v>64</v>
      </c>
      <c r="G362" s="11">
        <v>74</v>
      </c>
      <c r="H362" s="11">
        <v>4.9</v>
      </c>
      <c r="I362" s="11">
        <v>75</v>
      </c>
      <c r="J362" s="11">
        <v>86</v>
      </c>
      <c r="K362" s="11">
        <v>60</v>
      </c>
      <c r="L362" s="11">
        <v>75</v>
      </c>
      <c r="M362" s="11">
        <v>75</v>
      </c>
      <c r="N362" s="12">
        <f t="shared" si="20"/>
        <v>371</v>
      </c>
      <c r="O362" s="13">
        <f t="shared" si="21"/>
        <v>74.2</v>
      </c>
      <c r="P362" s="12" t="str">
        <f t="shared" si="22"/>
        <v>Improvement</v>
      </c>
      <c r="Q362" s="12" t="str">
        <f t="shared" si="23"/>
        <v>Good</v>
      </c>
    </row>
    <row r="363" spans="1:17">
      <c r="A363" s="11" t="s">
        <v>578</v>
      </c>
      <c r="B363" s="11" t="s">
        <v>469</v>
      </c>
      <c r="C363" s="11" t="s">
        <v>30</v>
      </c>
      <c r="D363" s="11">
        <v>20</v>
      </c>
      <c r="E363" s="11" t="s">
        <v>20</v>
      </c>
      <c r="F363" s="11" t="s">
        <v>105</v>
      </c>
      <c r="G363" s="11">
        <v>78</v>
      </c>
      <c r="H363" s="11">
        <v>3.8</v>
      </c>
      <c r="I363" s="11">
        <v>43</v>
      </c>
      <c r="J363" s="11">
        <v>57</v>
      </c>
      <c r="K363" s="11">
        <v>44</v>
      </c>
      <c r="L363" s="11">
        <v>43</v>
      </c>
      <c r="M363" s="11">
        <v>60</v>
      </c>
      <c r="N363" s="12">
        <f t="shared" si="20"/>
        <v>247</v>
      </c>
      <c r="O363" s="13">
        <f t="shared" si="21"/>
        <v>49.4</v>
      </c>
      <c r="P363" s="12" t="str">
        <f t="shared" si="22"/>
        <v>Improvement</v>
      </c>
      <c r="Q363" s="12" t="str">
        <f t="shared" si="23"/>
        <v>Bad</v>
      </c>
    </row>
    <row r="364" spans="1:17">
      <c r="A364" s="11" t="s">
        <v>579</v>
      </c>
      <c r="B364" s="11" t="s">
        <v>580</v>
      </c>
      <c r="C364" s="11" t="s">
        <v>19</v>
      </c>
      <c r="D364" s="11">
        <v>19</v>
      </c>
      <c r="E364" s="11" t="s">
        <v>34</v>
      </c>
      <c r="F364" s="11" t="s">
        <v>52</v>
      </c>
      <c r="G364" s="11">
        <v>79</v>
      </c>
      <c r="H364" s="11">
        <v>2.6</v>
      </c>
      <c r="I364" s="11">
        <v>43</v>
      </c>
      <c r="J364" s="11">
        <v>47</v>
      </c>
      <c r="K364" s="11">
        <v>44</v>
      </c>
      <c r="L364" s="11">
        <v>39</v>
      </c>
      <c r="M364" s="11">
        <v>54</v>
      </c>
      <c r="N364" s="12">
        <f t="shared" si="20"/>
        <v>227</v>
      </c>
      <c r="O364" s="13">
        <f t="shared" si="21"/>
        <v>45.4</v>
      </c>
      <c r="P364" s="12" t="str">
        <f t="shared" si="22"/>
        <v>Improvement</v>
      </c>
      <c r="Q364" s="12" t="str">
        <f t="shared" si="23"/>
        <v>Bad</v>
      </c>
    </row>
    <row r="365" spans="1:17">
      <c r="A365" s="11" t="s">
        <v>581</v>
      </c>
      <c r="B365" s="11" t="s">
        <v>457</v>
      </c>
      <c r="C365" s="11" t="s">
        <v>30</v>
      </c>
      <c r="D365" s="11">
        <v>22</v>
      </c>
      <c r="E365" s="11" t="s">
        <v>48</v>
      </c>
      <c r="F365" s="11" t="s">
        <v>52</v>
      </c>
      <c r="G365" s="11">
        <v>84</v>
      </c>
      <c r="H365" s="11">
        <v>4.3</v>
      </c>
      <c r="I365" s="11">
        <v>71</v>
      </c>
      <c r="J365" s="11">
        <v>71</v>
      </c>
      <c r="K365" s="11">
        <v>68</v>
      </c>
      <c r="L365" s="11">
        <v>63</v>
      </c>
      <c r="M365" s="11">
        <v>62</v>
      </c>
      <c r="N365" s="12">
        <f t="shared" si="20"/>
        <v>335</v>
      </c>
      <c r="O365" s="13">
        <f t="shared" si="21"/>
        <v>67</v>
      </c>
      <c r="P365" s="12" t="str">
        <f t="shared" si="22"/>
        <v>Improvement</v>
      </c>
      <c r="Q365" s="12" t="str">
        <f t="shared" si="23"/>
        <v>Good</v>
      </c>
    </row>
    <row r="366" spans="1:17">
      <c r="A366" s="11" t="s">
        <v>582</v>
      </c>
      <c r="B366" s="11" t="s">
        <v>37</v>
      </c>
      <c r="C366" s="11" t="s">
        <v>19</v>
      </c>
      <c r="D366" s="11">
        <v>22</v>
      </c>
      <c r="E366" s="11" t="s">
        <v>38</v>
      </c>
      <c r="F366" s="11" t="s">
        <v>44</v>
      </c>
      <c r="G366" s="11">
        <v>71</v>
      </c>
      <c r="H366" s="11">
        <v>4.5</v>
      </c>
      <c r="I366" s="11">
        <v>66</v>
      </c>
      <c r="J366" s="11">
        <v>75</v>
      </c>
      <c r="K366" s="11">
        <v>65</v>
      </c>
      <c r="L366" s="11">
        <v>71</v>
      </c>
      <c r="M366" s="11">
        <v>67</v>
      </c>
      <c r="N366" s="12">
        <f t="shared" si="20"/>
        <v>344</v>
      </c>
      <c r="O366" s="13">
        <f t="shared" si="21"/>
        <v>68.8</v>
      </c>
      <c r="P366" s="12" t="str">
        <f t="shared" si="22"/>
        <v>Improvement</v>
      </c>
      <c r="Q366" s="12" t="str">
        <f t="shared" si="23"/>
        <v>Good</v>
      </c>
    </row>
    <row r="367" spans="1:17">
      <c r="A367" s="11" t="s">
        <v>583</v>
      </c>
      <c r="B367" s="11" t="s">
        <v>508</v>
      </c>
      <c r="C367" s="11" t="s">
        <v>19</v>
      </c>
      <c r="D367" s="11">
        <v>20</v>
      </c>
      <c r="E367" s="11" t="s">
        <v>34</v>
      </c>
      <c r="F367" s="11" t="s">
        <v>39</v>
      </c>
      <c r="G367" s="11">
        <v>79</v>
      </c>
      <c r="H367" s="11">
        <v>2.8</v>
      </c>
      <c r="I367" s="11">
        <v>53</v>
      </c>
      <c r="J367" s="11">
        <v>58</v>
      </c>
      <c r="K367" s="11">
        <v>53</v>
      </c>
      <c r="L367" s="11">
        <v>69</v>
      </c>
      <c r="M367" s="11">
        <v>62</v>
      </c>
      <c r="N367" s="12">
        <f t="shared" si="20"/>
        <v>295</v>
      </c>
      <c r="O367" s="13">
        <f t="shared" si="21"/>
        <v>59</v>
      </c>
      <c r="P367" s="12" t="str">
        <f t="shared" si="22"/>
        <v>Improvement</v>
      </c>
      <c r="Q367" s="12" t="str">
        <f t="shared" si="23"/>
        <v>Bad</v>
      </c>
    </row>
    <row r="368" spans="1:17">
      <c r="A368" s="11" t="s">
        <v>584</v>
      </c>
      <c r="B368" s="11" t="s">
        <v>77</v>
      </c>
      <c r="C368" s="11" t="s">
        <v>30</v>
      </c>
      <c r="D368" s="11">
        <v>20</v>
      </c>
      <c r="E368" s="11" t="s">
        <v>34</v>
      </c>
      <c r="F368" s="11" t="s">
        <v>35</v>
      </c>
      <c r="G368" s="11">
        <v>74</v>
      </c>
      <c r="H368" s="11">
        <v>5.5</v>
      </c>
      <c r="I368" s="11">
        <v>74</v>
      </c>
      <c r="J368" s="11">
        <v>77</v>
      </c>
      <c r="K368" s="11">
        <v>86</v>
      </c>
      <c r="L368" s="11">
        <v>73</v>
      </c>
      <c r="M368" s="11">
        <v>71</v>
      </c>
      <c r="N368" s="12">
        <f t="shared" si="20"/>
        <v>381</v>
      </c>
      <c r="O368" s="13">
        <f t="shared" si="21"/>
        <v>76.2</v>
      </c>
      <c r="P368" s="12" t="str">
        <f t="shared" si="22"/>
        <v>Improvement</v>
      </c>
      <c r="Q368" s="12" t="str">
        <f t="shared" si="23"/>
        <v>Good</v>
      </c>
    </row>
    <row r="369" spans="1:17">
      <c r="A369" s="11" t="s">
        <v>585</v>
      </c>
      <c r="B369" s="11" t="s">
        <v>163</v>
      </c>
      <c r="C369" s="11" t="s">
        <v>19</v>
      </c>
      <c r="D369" s="11">
        <v>22</v>
      </c>
      <c r="E369" s="11" t="s">
        <v>48</v>
      </c>
      <c r="F369" s="11" t="s">
        <v>21</v>
      </c>
      <c r="G369" s="11">
        <v>82</v>
      </c>
      <c r="H369" s="11">
        <v>4.1</v>
      </c>
      <c r="I369" s="11">
        <v>57</v>
      </c>
      <c r="J369" s="11">
        <v>56</v>
      </c>
      <c r="K369" s="11">
        <v>61</v>
      </c>
      <c r="L369" s="11">
        <v>60</v>
      </c>
      <c r="M369" s="11">
        <v>63</v>
      </c>
      <c r="N369" s="12">
        <f t="shared" si="20"/>
        <v>297</v>
      </c>
      <c r="O369" s="13">
        <f t="shared" si="21"/>
        <v>59.4</v>
      </c>
      <c r="P369" s="12" t="str">
        <f t="shared" si="22"/>
        <v>Improvement</v>
      </c>
      <c r="Q369" s="12" t="str">
        <f t="shared" si="23"/>
        <v>Bad</v>
      </c>
    </row>
    <row r="370" spans="1:17">
      <c r="A370" s="11" t="s">
        <v>586</v>
      </c>
      <c r="B370" s="11" t="s">
        <v>587</v>
      </c>
      <c r="C370" s="11" t="s">
        <v>30</v>
      </c>
      <c r="D370" s="11">
        <v>20</v>
      </c>
      <c r="E370" s="11" t="s">
        <v>27</v>
      </c>
      <c r="F370" s="11" t="s">
        <v>44</v>
      </c>
      <c r="G370" s="11">
        <v>70</v>
      </c>
      <c r="H370" s="11">
        <v>3.1</v>
      </c>
      <c r="I370" s="11">
        <v>68</v>
      </c>
      <c r="J370" s="11">
        <v>57</v>
      </c>
      <c r="K370" s="11">
        <v>64</v>
      </c>
      <c r="L370" s="11">
        <v>81</v>
      </c>
      <c r="M370" s="11">
        <v>63</v>
      </c>
      <c r="N370" s="12">
        <f t="shared" si="20"/>
        <v>333</v>
      </c>
      <c r="O370" s="13">
        <f t="shared" si="21"/>
        <v>66.6</v>
      </c>
      <c r="P370" s="12" t="str">
        <f t="shared" si="22"/>
        <v>Improvement</v>
      </c>
      <c r="Q370" s="12" t="str">
        <f t="shared" si="23"/>
        <v>Good</v>
      </c>
    </row>
    <row r="371" spans="1:17">
      <c r="A371" s="11" t="s">
        <v>588</v>
      </c>
      <c r="B371" s="11" t="s">
        <v>308</v>
      </c>
      <c r="C371" s="11" t="s">
        <v>19</v>
      </c>
      <c r="D371" s="11">
        <v>18</v>
      </c>
      <c r="E371" s="11" t="s">
        <v>24</v>
      </c>
      <c r="F371" s="11" t="s">
        <v>64</v>
      </c>
      <c r="G371" s="11">
        <v>80</v>
      </c>
      <c r="H371" s="11">
        <v>3.8</v>
      </c>
      <c r="I371" s="11">
        <v>46</v>
      </c>
      <c r="J371" s="11">
        <v>53</v>
      </c>
      <c r="K371" s="11">
        <v>52</v>
      </c>
      <c r="L371" s="11">
        <v>49</v>
      </c>
      <c r="M371" s="11">
        <v>52</v>
      </c>
      <c r="N371" s="12">
        <f t="shared" si="20"/>
        <v>252</v>
      </c>
      <c r="O371" s="13">
        <f t="shared" si="21"/>
        <v>50.4</v>
      </c>
      <c r="P371" s="12" t="str">
        <f t="shared" si="22"/>
        <v>Improvement</v>
      </c>
      <c r="Q371" s="12" t="str">
        <f t="shared" si="23"/>
        <v>Bad</v>
      </c>
    </row>
    <row r="372" spans="1:17">
      <c r="A372" s="11" t="s">
        <v>589</v>
      </c>
      <c r="B372" s="11" t="s">
        <v>244</v>
      </c>
      <c r="C372" s="11" t="s">
        <v>19</v>
      </c>
      <c r="D372" s="11">
        <v>20</v>
      </c>
      <c r="E372" s="11" t="s">
        <v>20</v>
      </c>
      <c r="F372" s="11" t="s">
        <v>105</v>
      </c>
      <c r="G372" s="11">
        <v>85</v>
      </c>
      <c r="H372" s="11">
        <v>3</v>
      </c>
      <c r="I372" s="11">
        <v>69</v>
      </c>
      <c r="J372" s="11">
        <v>73</v>
      </c>
      <c r="K372" s="11">
        <v>71</v>
      </c>
      <c r="L372" s="11">
        <v>70</v>
      </c>
      <c r="M372" s="11">
        <v>65</v>
      </c>
      <c r="N372" s="12">
        <f t="shared" si="20"/>
        <v>348</v>
      </c>
      <c r="O372" s="13">
        <f t="shared" si="21"/>
        <v>69.6</v>
      </c>
      <c r="P372" s="12" t="str">
        <f t="shared" si="22"/>
        <v>Improvement</v>
      </c>
      <c r="Q372" s="12" t="str">
        <f t="shared" si="23"/>
        <v>Good</v>
      </c>
    </row>
    <row r="373" spans="1:17">
      <c r="A373" s="11" t="s">
        <v>590</v>
      </c>
      <c r="B373" s="11" t="s">
        <v>292</v>
      </c>
      <c r="C373" s="11" t="s">
        <v>19</v>
      </c>
      <c r="D373" s="11">
        <v>21</v>
      </c>
      <c r="E373" s="11" t="s">
        <v>38</v>
      </c>
      <c r="F373" s="11" t="s">
        <v>44</v>
      </c>
      <c r="G373" s="11">
        <v>76</v>
      </c>
      <c r="H373" s="11">
        <v>4.1</v>
      </c>
      <c r="I373" s="11">
        <v>60</v>
      </c>
      <c r="J373" s="11">
        <v>66</v>
      </c>
      <c r="K373" s="11">
        <v>66</v>
      </c>
      <c r="L373" s="11">
        <v>49</v>
      </c>
      <c r="M373" s="11">
        <v>65</v>
      </c>
      <c r="N373" s="12">
        <f t="shared" si="20"/>
        <v>306</v>
      </c>
      <c r="O373" s="13">
        <f t="shared" si="21"/>
        <v>61.2</v>
      </c>
      <c r="P373" s="12" t="str">
        <f t="shared" si="22"/>
        <v>Improvement</v>
      </c>
      <c r="Q373" s="12" t="str">
        <f t="shared" si="23"/>
        <v>Good</v>
      </c>
    </row>
    <row r="374" spans="1:17">
      <c r="A374" s="11" t="s">
        <v>591</v>
      </c>
      <c r="B374" s="11" t="s">
        <v>592</v>
      </c>
      <c r="C374" s="11" t="s">
        <v>30</v>
      </c>
      <c r="D374" s="11">
        <v>21</v>
      </c>
      <c r="E374" s="11" t="s">
        <v>24</v>
      </c>
      <c r="F374" s="11" t="s">
        <v>44</v>
      </c>
      <c r="G374" s="11">
        <v>71</v>
      </c>
      <c r="H374" s="11">
        <v>2.6</v>
      </c>
      <c r="I374" s="11">
        <v>35</v>
      </c>
      <c r="J374" s="11">
        <v>36</v>
      </c>
      <c r="K374" s="11">
        <v>35</v>
      </c>
      <c r="L374" s="11">
        <v>48</v>
      </c>
      <c r="M374" s="11">
        <v>46</v>
      </c>
      <c r="N374" s="12">
        <f t="shared" si="20"/>
        <v>200</v>
      </c>
      <c r="O374" s="13">
        <f t="shared" si="21"/>
        <v>40</v>
      </c>
      <c r="P374" s="12" t="str">
        <f t="shared" si="22"/>
        <v>Improvement</v>
      </c>
      <c r="Q374" s="12" t="str">
        <f t="shared" si="23"/>
        <v>Bad</v>
      </c>
    </row>
    <row r="375" spans="1:17">
      <c r="A375" s="11" t="s">
        <v>593</v>
      </c>
      <c r="B375" s="11" t="s">
        <v>188</v>
      </c>
      <c r="C375" s="11" t="s">
        <v>30</v>
      </c>
      <c r="D375" s="11">
        <v>18</v>
      </c>
      <c r="E375" s="11" t="s">
        <v>27</v>
      </c>
      <c r="F375" s="11" t="s">
        <v>35</v>
      </c>
      <c r="G375" s="11">
        <v>81</v>
      </c>
      <c r="H375" s="11">
        <v>2.6</v>
      </c>
      <c r="I375" s="11">
        <v>44</v>
      </c>
      <c r="J375" s="11">
        <v>53</v>
      </c>
      <c r="K375" s="11">
        <v>65</v>
      </c>
      <c r="L375" s="11">
        <v>48</v>
      </c>
      <c r="M375" s="11">
        <v>41</v>
      </c>
      <c r="N375" s="12">
        <f t="shared" si="20"/>
        <v>251</v>
      </c>
      <c r="O375" s="13">
        <f t="shared" si="21"/>
        <v>50.2</v>
      </c>
      <c r="P375" s="12" t="str">
        <f t="shared" si="22"/>
        <v>Improvement</v>
      </c>
      <c r="Q375" s="12" t="str">
        <f t="shared" si="23"/>
        <v>Bad</v>
      </c>
    </row>
    <row r="376" spans="1:17">
      <c r="A376" s="11" t="s">
        <v>594</v>
      </c>
      <c r="B376" s="11" t="s">
        <v>491</v>
      </c>
      <c r="C376" s="11" t="s">
        <v>30</v>
      </c>
      <c r="D376" s="11">
        <v>20</v>
      </c>
      <c r="E376" s="11" t="s">
        <v>38</v>
      </c>
      <c r="F376" s="11" t="s">
        <v>35</v>
      </c>
      <c r="G376" s="11">
        <v>86</v>
      </c>
      <c r="H376" s="11">
        <v>5</v>
      </c>
      <c r="I376" s="11">
        <v>71</v>
      </c>
      <c r="J376" s="11">
        <v>77</v>
      </c>
      <c r="K376" s="11">
        <v>74</v>
      </c>
      <c r="L376" s="11">
        <v>67</v>
      </c>
      <c r="M376" s="11">
        <v>88</v>
      </c>
      <c r="N376" s="12">
        <f t="shared" si="20"/>
        <v>377</v>
      </c>
      <c r="O376" s="13">
        <f t="shared" si="21"/>
        <v>75.4</v>
      </c>
      <c r="P376" s="12" t="str">
        <f t="shared" si="22"/>
        <v>Improvement</v>
      </c>
      <c r="Q376" s="12" t="str">
        <f t="shared" si="23"/>
        <v>Good</v>
      </c>
    </row>
    <row r="377" spans="1:17">
      <c r="A377" s="11" t="s">
        <v>595</v>
      </c>
      <c r="B377" s="11" t="s">
        <v>353</v>
      </c>
      <c r="C377" s="11" t="s">
        <v>30</v>
      </c>
      <c r="D377" s="11">
        <v>22</v>
      </c>
      <c r="E377" s="11" t="s">
        <v>48</v>
      </c>
      <c r="F377" s="11" t="s">
        <v>39</v>
      </c>
      <c r="G377" s="11">
        <v>93</v>
      </c>
      <c r="H377" s="11">
        <v>6</v>
      </c>
      <c r="I377" s="11">
        <v>80</v>
      </c>
      <c r="J377" s="11">
        <v>80</v>
      </c>
      <c r="K377" s="11">
        <v>71</v>
      </c>
      <c r="L377" s="11">
        <v>80</v>
      </c>
      <c r="M377" s="11">
        <v>69</v>
      </c>
      <c r="N377" s="12">
        <f t="shared" si="20"/>
        <v>380</v>
      </c>
      <c r="O377" s="13">
        <f t="shared" si="21"/>
        <v>76</v>
      </c>
      <c r="P377" s="12" t="str">
        <f t="shared" si="22"/>
        <v>Improvement</v>
      </c>
      <c r="Q377" s="12" t="str">
        <f t="shared" si="23"/>
        <v>Good</v>
      </c>
    </row>
    <row r="378" spans="1:17">
      <c r="A378" s="11" t="s">
        <v>596</v>
      </c>
      <c r="B378" s="11" t="s">
        <v>29</v>
      </c>
      <c r="C378" s="11" t="s">
        <v>19</v>
      </c>
      <c r="D378" s="11">
        <v>19</v>
      </c>
      <c r="E378" s="11" t="s">
        <v>20</v>
      </c>
      <c r="F378" s="11" t="s">
        <v>39</v>
      </c>
      <c r="G378" s="11">
        <v>75</v>
      </c>
      <c r="H378" s="11">
        <v>2.7</v>
      </c>
      <c r="I378" s="11">
        <v>60</v>
      </c>
      <c r="J378" s="11">
        <v>46</v>
      </c>
      <c r="K378" s="11">
        <v>57</v>
      </c>
      <c r="L378" s="11">
        <v>60</v>
      </c>
      <c r="M378" s="11">
        <v>53</v>
      </c>
      <c r="N378" s="12">
        <f t="shared" si="20"/>
        <v>276</v>
      </c>
      <c r="O378" s="13">
        <f t="shared" si="21"/>
        <v>55.2</v>
      </c>
      <c r="P378" s="12" t="str">
        <f t="shared" si="22"/>
        <v>Improvement</v>
      </c>
      <c r="Q378" s="12" t="str">
        <f t="shared" si="23"/>
        <v>Bad</v>
      </c>
    </row>
    <row r="379" spans="1:17">
      <c r="A379" s="11" t="s">
        <v>597</v>
      </c>
      <c r="B379" s="11" t="s">
        <v>170</v>
      </c>
      <c r="C379" s="11" t="s">
        <v>30</v>
      </c>
      <c r="D379" s="11">
        <v>22</v>
      </c>
      <c r="E379" s="11" t="s">
        <v>38</v>
      </c>
      <c r="F379" s="11" t="s">
        <v>31</v>
      </c>
      <c r="G379" s="11">
        <v>73</v>
      </c>
      <c r="H379" s="11">
        <v>5.3</v>
      </c>
      <c r="I379" s="11">
        <v>66</v>
      </c>
      <c r="J379" s="11">
        <v>62</v>
      </c>
      <c r="K379" s="11">
        <v>54</v>
      </c>
      <c r="L379" s="11">
        <v>58</v>
      </c>
      <c r="M379" s="11">
        <v>74</v>
      </c>
      <c r="N379" s="12">
        <f t="shared" si="20"/>
        <v>314</v>
      </c>
      <c r="O379" s="13">
        <f t="shared" si="21"/>
        <v>62.8</v>
      </c>
      <c r="P379" s="12" t="str">
        <f t="shared" si="22"/>
        <v>Improvement</v>
      </c>
      <c r="Q379" s="12" t="str">
        <f t="shared" si="23"/>
        <v>Good</v>
      </c>
    </row>
    <row r="380" spans="1:17">
      <c r="A380" s="11" t="s">
        <v>598</v>
      </c>
      <c r="B380" s="11" t="s">
        <v>379</v>
      </c>
      <c r="C380" s="11" t="s">
        <v>19</v>
      </c>
      <c r="D380" s="11">
        <v>20</v>
      </c>
      <c r="E380" s="11" t="s">
        <v>38</v>
      </c>
      <c r="F380" s="11" t="s">
        <v>31</v>
      </c>
      <c r="G380" s="11">
        <v>80</v>
      </c>
      <c r="H380" s="11">
        <v>8</v>
      </c>
      <c r="I380" s="11">
        <v>80</v>
      </c>
      <c r="J380" s="11">
        <v>94</v>
      </c>
      <c r="K380" s="11">
        <v>68</v>
      </c>
      <c r="L380" s="11">
        <v>83</v>
      </c>
      <c r="M380" s="11">
        <v>98</v>
      </c>
      <c r="N380" s="12">
        <f t="shared" si="20"/>
        <v>423</v>
      </c>
      <c r="O380" s="13">
        <f t="shared" si="21"/>
        <v>84.6</v>
      </c>
      <c r="P380" s="12" t="str">
        <f t="shared" si="22"/>
        <v>TopPerformer</v>
      </c>
      <c r="Q380" s="12" t="str">
        <f t="shared" si="23"/>
        <v>Excellent</v>
      </c>
    </row>
    <row r="381" spans="1:17">
      <c r="A381" s="11" t="s">
        <v>599</v>
      </c>
      <c r="B381" s="11" t="s">
        <v>280</v>
      </c>
      <c r="C381" s="11" t="s">
        <v>19</v>
      </c>
      <c r="D381" s="11">
        <v>19</v>
      </c>
      <c r="E381" s="11" t="s">
        <v>27</v>
      </c>
      <c r="F381" s="11" t="s">
        <v>39</v>
      </c>
      <c r="G381" s="11">
        <v>95</v>
      </c>
      <c r="H381" s="11">
        <v>4.4</v>
      </c>
      <c r="I381" s="11">
        <v>58</v>
      </c>
      <c r="J381" s="11">
        <v>59</v>
      </c>
      <c r="K381" s="11">
        <v>67</v>
      </c>
      <c r="L381" s="11">
        <v>74</v>
      </c>
      <c r="M381" s="11">
        <v>72</v>
      </c>
      <c r="N381" s="12">
        <f t="shared" si="20"/>
        <v>330</v>
      </c>
      <c r="O381" s="13">
        <f t="shared" si="21"/>
        <v>66</v>
      </c>
      <c r="P381" s="12" t="str">
        <f t="shared" si="22"/>
        <v>Improvement</v>
      </c>
      <c r="Q381" s="12" t="str">
        <f t="shared" si="23"/>
        <v>Good</v>
      </c>
    </row>
    <row r="382" spans="1:17">
      <c r="A382" s="11" t="s">
        <v>600</v>
      </c>
      <c r="B382" s="11" t="s">
        <v>601</v>
      </c>
      <c r="C382" s="11" t="s">
        <v>30</v>
      </c>
      <c r="D382" s="11">
        <v>20</v>
      </c>
      <c r="E382" s="11" t="s">
        <v>20</v>
      </c>
      <c r="F382" s="11" t="s">
        <v>52</v>
      </c>
      <c r="G382" s="11">
        <v>86</v>
      </c>
      <c r="H382" s="11">
        <v>1.8</v>
      </c>
      <c r="I382" s="11">
        <v>58</v>
      </c>
      <c r="J382" s="11">
        <v>46</v>
      </c>
      <c r="K382" s="11">
        <v>47</v>
      </c>
      <c r="L382" s="11">
        <v>55</v>
      </c>
      <c r="M382" s="11">
        <v>60</v>
      </c>
      <c r="N382" s="12">
        <f t="shared" si="20"/>
        <v>266</v>
      </c>
      <c r="O382" s="13">
        <f t="shared" si="21"/>
        <v>53.2</v>
      </c>
      <c r="P382" s="12" t="str">
        <f t="shared" si="22"/>
        <v>Improvement</v>
      </c>
      <c r="Q382" s="12" t="str">
        <f t="shared" si="23"/>
        <v>Bad</v>
      </c>
    </row>
    <row r="383" spans="1:17">
      <c r="A383" s="11" t="s">
        <v>602</v>
      </c>
      <c r="B383" s="11" t="s">
        <v>89</v>
      </c>
      <c r="C383" s="11" t="s">
        <v>19</v>
      </c>
      <c r="D383" s="11">
        <v>18</v>
      </c>
      <c r="E383" s="11" t="s">
        <v>48</v>
      </c>
      <c r="F383" s="11" t="s">
        <v>21</v>
      </c>
      <c r="G383" s="11">
        <v>75</v>
      </c>
      <c r="H383" s="11">
        <v>2.2</v>
      </c>
      <c r="I383" s="11">
        <v>56</v>
      </c>
      <c r="J383" s="11">
        <v>55</v>
      </c>
      <c r="K383" s="11">
        <v>36</v>
      </c>
      <c r="L383" s="11">
        <v>46</v>
      </c>
      <c r="M383" s="11">
        <v>62</v>
      </c>
      <c r="N383" s="12">
        <f t="shared" si="20"/>
        <v>255</v>
      </c>
      <c r="O383" s="13">
        <f t="shared" si="21"/>
        <v>51</v>
      </c>
      <c r="P383" s="12" t="str">
        <f t="shared" si="22"/>
        <v>Improvement</v>
      </c>
      <c r="Q383" s="12" t="str">
        <f t="shared" si="23"/>
        <v>Bad</v>
      </c>
    </row>
    <row r="384" spans="1:17">
      <c r="A384" s="11" t="s">
        <v>603</v>
      </c>
      <c r="B384" s="11" t="s">
        <v>346</v>
      </c>
      <c r="C384" s="11" t="s">
        <v>30</v>
      </c>
      <c r="D384" s="11">
        <v>18</v>
      </c>
      <c r="E384" s="11" t="s">
        <v>20</v>
      </c>
      <c r="F384" s="11" t="s">
        <v>64</v>
      </c>
      <c r="G384" s="11">
        <v>81</v>
      </c>
      <c r="H384" s="11">
        <v>4.4</v>
      </c>
      <c r="I384" s="11">
        <v>66</v>
      </c>
      <c r="J384" s="11">
        <v>63</v>
      </c>
      <c r="K384" s="11">
        <v>86</v>
      </c>
      <c r="L384" s="11">
        <v>77</v>
      </c>
      <c r="M384" s="11">
        <v>76</v>
      </c>
      <c r="N384" s="12">
        <f t="shared" si="20"/>
        <v>368</v>
      </c>
      <c r="O384" s="13">
        <f t="shared" si="21"/>
        <v>73.6</v>
      </c>
      <c r="P384" s="12" t="str">
        <f t="shared" si="22"/>
        <v>Improvement</v>
      </c>
      <c r="Q384" s="12" t="str">
        <f t="shared" si="23"/>
        <v>Good</v>
      </c>
    </row>
    <row r="385" spans="1:17">
      <c r="A385" s="11" t="s">
        <v>604</v>
      </c>
      <c r="B385" s="11" t="s">
        <v>383</v>
      </c>
      <c r="C385" s="11" t="s">
        <v>19</v>
      </c>
      <c r="D385" s="11">
        <v>21</v>
      </c>
      <c r="E385" s="11" t="s">
        <v>38</v>
      </c>
      <c r="F385" s="11" t="s">
        <v>64</v>
      </c>
      <c r="G385" s="11">
        <v>74</v>
      </c>
      <c r="H385" s="11">
        <v>4.2</v>
      </c>
      <c r="I385" s="11">
        <v>36</v>
      </c>
      <c r="J385" s="11">
        <v>55</v>
      </c>
      <c r="K385" s="11">
        <v>46</v>
      </c>
      <c r="L385" s="11">
        <v>37</v>
      </c>
      <c r="M385" s="11">
        <v>57</v>
      </c>
      <c r="N385" s="12">
        <f t="shared" si="20"/>
        <v>231</v>
      </c>
      <c r="O385" s="13">
        <f t="shared" si="21"/>
        <v>46.2</v>
      </c>
      <c r="P385" s="12" t="str">
        <f t="shared" si="22"/>
        <v>Improvement</v>
      </c>
      <c r="Q385" s="12" t="str">
        <f t="shared" si="23"/>
        <v>Bad</v>
      </c>
    </row>
    <row r="386" spans="1:17">
      <c r="A386" s="11" t="s">
        <v>605</v>
      </c>
      <c r="B386" s="11" t="s">
        <v>606</v>
      </c>
      <c r="C386" s="11" t="s">
        <v>19</v>
      </c>
      <c r="D386" s="11">
        <v>21</v>
      </c>
      <c r="E386" s="11" t="s">
        <v>20</v>
      </c>
      <c r="F386" s="11" t="s">
        <v>39</v>
      </c>
      <c r="G386" s="11">
        <v>82</v>
      </c>
      <c r="H386" s="11">
        <v>5.1</v>
      </c>
      <c r="I386" s="11">
        <v>75</v>
      </c>
      <c r="J386" s="11">
        <v>78</v>
      </c>
      <c r="K386" s="11">
        <v>80</v>
      </c>
      <c r="L386" s="11">
        <v>82</v>
      </c>
      <c r="M386" s="11">
        <v>76</v>
      </c>
      <c r="N386" s="12">
        <f t="shared" ref="N386:N449" si="24">SUM(I386:M386)</f>
        <v>391</v>
      </c>
      <c r="O386" s="13">
        <f t="shared" ref="O386:O449" si="25">AVERAGE(N386/5)</f>
        <v>78.2</v>
      </c>
      <c r="P386" s="12" t="str">
        <f t="shared" ref="P386:P449" si="26">IF(N386&gt;=400,"TopPerformer","Improvement")</f>
        <v>Improvement</v>
      </c>
      <c r="Q386" s="12" t="str">
        <f t="shared" ref="Q386:Q449" si="27">IF(N386&gt;=400,"Excellent",IF(N386&gt;=300,"Good",IF(N386&gt;=200,"Bad","Very Bad")))</f>
        <v>Good</v>
      </c>
    </row>
    <row r="387" spans="1:17">
      <c r="A387" s="11" t="s">
        <v>607</v>
      </c>
      <c r="B387" s="11" t="s">
        <v>83</v>
      </c>
      <c r="C387" s="11" t="s">
        <v>30</v>
      </c>
      <c r="D387" s="11">
        <v>20</v>
      </c>
      <c r="E387" s="11" t="s">
        <v>38</v>
      </c>
      <c r="F387" s="11" t="s">
        <v>64</v>
      </c>
      <c r="G387" s="11">
        <v>92</v>
      </c>
      <c r="H387" s="11">
        <v>4.5</v>
      </c>
      <c r="I387" s="11">
        <v>78</v>
      </c>
      <c r="J387" s="11">
        <v>94</v>
      </c>
      <c r="K387" s="11">
        <v>86</v>
      </c>
      <c r="L387" s="11">
        <v>98</v>
      </c>
      <c r="M387" s="11">
        <v>72</v>
      </c>
      <c r="N387" s="12">
        <f t="shared" si="24"/>
        <v>428</v>
      </c>
      <c r="O387" s="13">
        <f t="shared" si="25"/>
        <v>85.6</v>
      </c>
      <c r="P387" s="12" t="str">
        <f t="shared" si="26"/>
        <v>TopPerformer</v>
      </c>
      <c r="Q387" s="12" t="str">
        <f t="shared" si="27"/>
        <v>Excellent</v>
      </c>
    </row>
    <row r="388" spans="1:17">
      <c r="A388" s="11" t="s">
        <v>608</v>
      </c>
      <c r="B388" s="11" t="s">
        <v>576</v>
      </c>
      <c r="C388" s="11" t="s">
        <v>30</v>
      </c>
      <c r="D388" s="11">
        <v>19</v>
      </c>
      <c r="E388" s="11" t="s">
        <v>24</v>
      </c>
      <c r="F388" s="11" t="s">
        <v>39</v>
      </c>
      <c r="G388" s="11">
        <v>99</v>
      </c>
      <c r="H388" s="11">
        <v>2.8</v>
      </c>
      <c r="I388" s="11">
        <v>80</v>
      </c>
      <c r="J388" s="11">
        <v>76</v>
      </c>
      <c r="K388" s="11">
        <v>63</v>
      </c>
      <c r="L388" s="11">
        <v>82</v>
      </c>
      <c r="M388" s="11">
        <v>80</v>
      </c>
      <c r="N388" s="12">
        <f t="shared" si="24"/>
        <v>381</v>
      </c>
      <c r="O388" s="13">
        <f t="shared" si="25"/>
        <v>76.2</v>
      </c>
      <c r="P388" s="12" t="str">
        <f t="shared" si="26"/>
        <v>Improvement</v>
      </c>
      <c r="Q388" s="12" t="str">
        <f t="shared" si="27"/>
        <v>Good</v>
      </c>
    </row>
    <row r="389" spans="1:17">
      <c r="A389" s="11" t="s">
        <v>609</v>
      </c>
      <c r="B389" s="11" t="s">
        <v>383</v>
      </c>
      <c r="C389" s="11" t="s">
        <v>30</v>
      </c>
      <c r="D389" s="11">
        <v>22</v>
      </c>
      <c r="E389" s="11" t="s">
        <v>38</v>
      </c>
      <c r="F389" s="11" t="s">
        <v>39</v>
      </c>
      <c r="G389" s="11">
        <v>81</v>
      </c>
      <c r="H389" s="11">
        <v>4.8</v>
      </c>
      <c r="I389" s="11">
        <v>61</v>
      </c>
      <c r="J389" s="11">
        <v>60</v>
      </c>
      <c r="K389" s="11">
        <v>62</v>
      </c>
      <c r="L389" s="11">
        <v>70</v>
      </c>
      <c r="M389" s="11">
        <v>68</v>
      </c>
      <c r="N389" s="12">
        <f t="shared" si="24"/>
        <v>321</v>
      </c>
      <c r="O389" s="13">
        <f t="shared" si="25"/>
        <v>64.2</v>
      </c>
      <c r="P389" s="12" t="str">
        <f t="shared" si="26"/>
        <v>Improvement</v>
      </c>
      <c r="Q389" s="12" t="str">
        <f t="shared" si="27"/>
        <v>Good</v>
      </c>
    </row>
    <row r="390" spans="1:17">
      <c r="A390" s="11" t="s">
        <v>610</v>
      </c>
      <c r="B390" s="11" t="s">
        <v>611</v>
      </c>
      <c r="C390" s="11" t="s">
        <v>30</v>
      </c>
      <c r="D390" s="11">
        <v>20</v>
      </c>
      <c r="E390" s="11" t="s">
        <v>48</v>
      </c>
      <c r="F390" s="11" t="s">
        <v>31</v>
      </c>
      <c r="G390" s="11">
        <v>95</v>
      </c>
      <c r="H390" s="11">
        <v>3.4</v>
      </c>
      <c r="I390" s="11">
        <v>66</v>
      </c>
      <c r="J390" s="11">
        <v>48</v>
      </c>
      <c r="K390" s="11">
        <v>56</v>
      </c>
      <c r="L390" s="11">
        <v>70</v>
      </c>
      <c r="M390" s="11">
        <v>49</v>
      </c>
      <c r="N390" s="12">
        <f t="shared" si="24"/>
        <v>289</v>
      </c>
      <c r="O390" s="13">
        <f t="shared" si="25"/>
        <v>57.8</v>
      </c>
      <c r="P390" s="12" t="str">
        <f t="shared" si="26"/>
        <v>Improvement</v>
      </c>
      <c r="Q390" s="12" t="str">
        <f t="shared" si="27"/>
        <v>Bad</v>
      </c>
    </row>
    <row r="391" spans="1:17">
      <c r="A391" s="11" t="s">
        <v>612</v>
      </c>
      <c r="B391" s="11" t="s">
        <v>321</v>
      </c>
      <c r="C391" s="11" t="s">
        <v>30</v>
      </c>
      <c r="D391" s="11">
        <v>21</v>
      </c>
      <c r="E391" s="11" t="s">
        <v>34</v>
      </c>
      <c r="F391" s="11" t="s">
        <v>64</v>
      </c>
      <c r="G391" s="11">
        <v>84</v>
      </c>
      <c r="H391" s="11">
        <v>5.5</v>
      </c>
      <c r="I391" s="11">
        <v>75</v>
      </c>
      <c r="J391" s="11">
        <v>63</v>
      </c>
      <c r="K391" s="11">
        <v>64</v>
      </c>
      <c r="L391" s="11">
        <v>62</v>
      </c>
      <c r="M391" s="11">
        <v>71</v>
      </c>
      <c r="N391" s="12">
        <f t="shared" si="24"/>
        <v>335</v>
      </c>
      <c r="O391" s="13">
        <f t="shared" si="25"/>
        <v>67</v>
      </c>
      <c r="P391" s="12" t="str">
        <f t="shared" si="26"/>
        <v>Improvement</v>
      </c>
      <c r="Q391" s="12" t="str">
        <f t="shared" si="27"/>
        <v>Good</v>
      </c>
    </row>
    <row r="392" spans="1:17">
      <c r="A392" s="11" t="s">
        <v>613</v>
      </c>
      <c r="B392" s="11" t="s">
        <v>342</v>
      </c>
      <c r="C392" s="11" t="s">
        <v>30</v>
      </c>
      <c r="D392" s="11">
        <v>18</v>
      </c>
      <c r="E392" s="11" t="s">
        <v>24</v>
      </c>
      <c r="F392" s="11" t="s">
        <v>31</v>
      </c>
      <c r="G392" s="11">
        <v>72</v>
      </c>
      <c r="H392" s="11">
        <v>4.4</v>
      </c>
      <c r="I392" s="11">
        <v>80</v>
      </c>
      <c r="J392" s="11">
        <v>74</v>
      </c>
      <c r="K392" s="11">
        <v>83</v>
      </c>
      <c r="L392" s="11">
        <v>75</v>
      </c>
      <c r="M392" s="11">
        <v>74</v>
      </c>
      <c r="N392" s="12">
        <f t="shared" si="24"/>
        <v>386</v>
      </c>
      <c r="O392" s="13">
        <f t="shared" si="25"/>
        <v>77.2</v>
      </c>
      <c r="P392" s="12" t="str">
        <f t="shared" si="26"/>
        <v>Improvement</v>
      </c>
      <c r="Q392" s="12" t="str">
        <f t="shared" si="27"/>
        <v>Good</v>
      </c>
    </row>
    <row r="393" spans="1:17">
      <c r="A393" s="11" t="s">
        <v>614</v>
      </c>
      <c r="B393" s="11" t="s">
        <v>323</v>
      </c>
      <c r="C393" s="11" t="s">
        <v>19</v>
      </c>
      <c r="D393" s="11">
        <v>18</v>
      </c>
      <c r="E393" s="11" t="s">
        <v>20</v>
      </c>
      <c r="F393" s="11" t="s">
        <v>21</v>
      </c>
      <c r="G393" s="11">
        <v>89</v>
      </c>
      <c r="H393" s="11">
        <v>3.1</v>
      </c>
      <c r="I393" s="11">
        <v>74</v>
      </c>
      <c r="J393" s="11">
        <v>54</v>
      </c>
      <c r="K393" s="11">
        <v>55</v>
      </c>
      <c r="L393" s="11">
        <v>59</v>
      </c>
      <c r="M393" s="11">
        <v>63</v>
      </c>
      <c r="N393" s="12">
        <f t="shared" si="24"/>
        <v>305</v>
      </c>
      <c r="O393" s="13">
        <f t="shared" si="25"/>
        <v>61</v>
      </c>
      <c r="P393" s="12" t="str">
        <f t="shared" si="26"/>
        <v>Improvement</v>
      </c>
      <c r="Q393" s="12" t="str">
        <f t="shared" si="27"/>
        <v>Good</v>
      </c>
    </row>
    <row r="394" spans="1:17">
      <c r="A394" s="11" t="s">
        <v>615</v>
      </c>
      <c r="B394" s="11" t="s">
        <v>224</v>
      </c>
      <c r="C394" s="11" t="s">
        <v>19</v>
      </c>
      <c r="D394" s="11">
        <v>20</v>
      </c>
      <c r="E394" s="11" t="s">
        <v>20</v>
      </c>
      <c r="F394" s="11" t="s">
        <v>44</v>
      </c>
      <c r="G394" s="11">
        <v>93</v>
      </c>
      <c r="H394" s="11">
        <v>3.9</v>
      </c>
      <c r="I394" s="11">
        <v>68</v>
      </c>
      <c r="J394" s="11">
        <v>65</v>
      </c>
      <c r="K394" s="11">
        <v>84</v>
      </c>
      <c r="L394" s="11">
        <v>69</v>
      </c>
      <c r="M394" s="11">
        <v>67</v>
      </c>
      <c r="N394" s="12">
        <f t="shared" si="24"/>
        <v>353</v>
      </c>
      <c r="O394" s="13">
        <f t="shared" si="25"/>
        <v>70.6</v>
      </c>
      <c r="P394" s="12" t="str">
        <f t="shared" si="26"/>
        <v>Improvement</v>
      </c>
      <c r="Q394" s="12" t="str">
        <f t="shared" si="27"/>
        <v>Good</v>
      </c>
    </row>
    <row r="395" spans="1:17">
      <c r="A395" s="11" t="s">
        <v>616</v>
      </c>
      <c r="B395" s="11" t="s">
        <v>201</v>
      </c>
      <c r="C395" s="11" t="s">
        <v>30</v>
      </c>
      <c r="D395" s="11">
        <v>20</v>
      </c>
      <c r="E395" s="11" t="s">
        <v>24</v>
      </c>
      <c r="F395" s="11" t="s">
        <v>52</v>
      </c>
      <c r="G395" s="11">
        <v>82</v>
      </c>
      <c r="H395" s="11">
        <v>3.8</v>
      </c>
      <c r="I395" s="11">
        <v>83</v>
      </c>
      <c r="J395" s="11">
        <v>69</v>
      </c>
      <c r="K395" s="11">
        <v>47</v>
      </c>
      <c r="L395" s="11">
        <v>69</v>
      </c>
      <c r="M395" s="11">
        <v>66</v>
      </c>
      <c r="N395" s="12">
        <f t="shared" si="24"/>
        <v>334</v>
      </c>
      <c r="O395" s="13">
        <f t="shared" si="25"/>
        <v>66.8</v>
      </c>
      <c r="P395" s="12" t="str">
        <f t="shared" si="26"/>
        <v>Improvement</v>
      </c>
      <c r="Q395" s="12" t="str">
        <f t="shared" si="27"/>
        <v>Good</v>
      </c>
    </row>
    <row r="396" spans="1:17">
      <c r="A396" s="11" t="s">
        <v>617</v>
      </c>
      <c r="B396" s="11" t="s">
        <v>43</v>
      </c>
      <c r="C396" s="11" t="s">
        <v>30</v>
      </c>
      <c r="D396" s="11">
        <v>22</v>
      </c>
      <c r="E396" s="11" t="s">
        <v>24</v>
      </c>
      <c r="F396" s="11" t="s">
        <v>39</v>
      </c>
      <c r="G396" s="11">
        <v>81</v>
      </c>
      <c r="H396" s="11">
        <v>3.7</v>
      </c>
      <c r="I396" s="11">
        <v>64</v>
      </c>
      <c r="J396" s="11">
        <v>60</v>
      </c>
      <c r="K396" s="11">
        <v>92</v>
      </c>
      <c r="L396" s="11">
        <v>62</v>
      </c>
      <c r="M396" s="11">
        <v>69</v>
      </c>
      <c r="N396" s="12">
        <f t="shared" si="24"/>
        <v>347</v>
      </c>
      <c r="O396" s="13">
        <f t="shared" si="25"/>
        <v>69.4</v>
      </c>
      <c r="P396" s="12" t="str">
        <f t="shared" si="26"/>
        <v>Improvement</v>
      </c>
      <c r="Q396" s="12" t="str">
        <f t="shared" si="27"/>
        <v>Good</v>
      </c>
    </row>
    <row r="397" spans="1:17">
      <c r="A397" s="11" t="s">
        <v>618</v>
      </c>
      <c r="B397" s="11" t="s">
        <v>619</v>
      </c>
      <c r="C397" s="11" t="s">
        <v>30</v>
      </c>
      <c r="D397" s="11">
        <v>18</v>
      </c>
      <c r="E397" s="11" t="s">
        <v>38</v>
      </c>
      <c r="F397" s="11" t="s">
        <v>31</v>
      </c>
      <c r="G397" s="11">
        <v>78</v>
      </c>
      <c r="H397" s="11">
        <v>5.4</v>
      </c>
      <c r="I397" s="11">
        <v>78</v>
      </c>
      <c r="J397" s="11">
        <v>59</v>
      </c>
      <c r="K397" s="11">
        <v>88</v>
      </c>
      <c r="L397" s="11">
        <v>64</v>
      </c>
      <c r="M397" s="11">
        <v>85</v>
      </c>
      <c r="N397" s="12">
        <f t="shared" si="24"/>
        <v>374</v>
      </c>
      <c r="O397" s="13">
        <f t="shared" si="25"/>
        <v>74.8</v>
      </c>
      <c r="P397" s="12" t="str">
        <f t="shared" si="26"/>
        <v>Improvement</v>
      </c>
      <c r="Q397" s="12" t="str">
        <f t="shared" si="27"/>
        <v>Good</v>
      </c>
    </row>
    <row r="398" spans="1:17">
      <c r="A398" s="11" t="s">
        <v>620</v>
      </c>
      <c r="B398" s="11" t="s">
        <v>323</v>
      </c>
      <c r="C398" s="11" t="s">
        <v>19</v>
      </c>
      <c r="D398" s="11">
        <v>19</v>
      </c>
      <c r="E398" s="11" t="s">
        <v>34</v>
      </c>
      <c r="F398" s="11" t="s">
        <v>105</v>
      </c>
      <c r="G398" s="11">
        <v>83</v>
      </c>
      <c r="H398" s="11">
        <v>3.1</v>
      </c>
      <c r="I398" s="11">
        <v>60</v>
      </c>
      <c r="J398" s="11">
        <v>46</v>
      </c>
      <c r="K398" s="11">
        <v>71</v>
      </c>
      <c r="L398" s="11">
        <v>61</v>
      </c>
      <c r="M398" s="11">
        <v>58</v>
      </c>
      <c r="N398" s="12">
        <f t="shared" si="24"/>
        <v>296</v>
      </c>
      <c r="O398" s="13">
        <f t="shared" si="25"/>
        <v>59.2</v>
      </c>
      <c r="P398" s="12" t="str">
        <f t="shared" si="26"/>
        <v>Improvement</v>
      </c>
      <c r="Q398" s="12" t="str">
        <f t="shared" si="27"/>
        <v>Bad</v>
      </c>
    </row>
    <row r="399" spans="1:17">
      <c r="A399" s="11" t="s">
        <v>621</v>
      </c>
      <c r="B399" s="11" t="s">
        <v>283</v>
      </c>
      <c r="C399" s="11" t="s">
        <v>19</v>
      </c>
      <c r="D399" s="11">
        <v>18</v>
      </c>
      <c r="E399" s="11" t="s">
        <v>38</v>
      </c>
      <c r="F399" s="11" t="s">
        <v>21</v>
      </c>
      <c r="G399" s="11">
        <v>61</v>
      </c>
      <c r="H399" s="11">
        <v>4.4</v>
      </c>
      <c r="I399" s="11">
        <v>64</v>
      </c>
      <c r="J399" s="11">
        <v>56</v>
      </c>
      <c r="K399" s="11">
        <v>66</v>
      </c>
      <c r="L399" s="11">
        <v>54</v>
      </c>
      <c r="M399" s="11">
        <v>57</v>
      </c>
      <c r="N399" s="12">
        <f t="shared" si="24"/>
        <v>297</v>
      </c>
      <c r="O399" s="13">
        <f t="shared" si="25"/>
        <v>59.4</v>
      </c>
      <c r="P399" s="12" t="str">
        <f t="shared" si="26"/>
        <v>Improvement</v>
      </c>
      <c r="Q399" s="12" t="str">
        <f t="shared" si="27"/>
        <v>Bad</v>
      </c>
    </row>
    <row r="400" spans="1:17">
      <c r="A400" s="11" t="s">
        <v>622</v>
      </c>
      <c r="B400" s="11" t="s">
        <v>512</v>
      </c>
      <c r="C400" s="11" t="s">
        <v>30</v>
      </c>
      <c r="D400" s="11">
        <v>21</v>
      </c>
      <c r="E400" s="11" t="s">
        <v>20</v>
      </c>
      <c r="F400" s="11" t="s">
        <v>44</v>
      </c>
      <c r="G400" s="11">
        <v>77</v>
      </c>
      <c r="H400" s="11">
        <v>6.7</v>
      </c>
      <c r="I400" s="11">
        <v>80</v>
      </c>
      <c r="J400" s="11">
        <v>74</v>
      </c>
      <c r="K400" s="11">
        <v>72</v>
      </c>
      <c r="L400" s="11">
        <v>60</v>
      </c>
      <c r="M400" s="11">
        <v>85</v>
      </c>
      <c r="N400" s="12">
        <f t="shared" si="24"/>
        <v>371</v>
      </c>
      <c r="O400" s="13">
        <f t="shared" si="25"/>
        <v>74.2</v>
      </c>
      <c r="P400" s="12" t="str">
        <f t="shared" si="26"/>
        <v>Improvement</v>
      </c>
      <c r="Q400" s="12" t="str">
        <f t="shared" si="27"/>
        <v>Good</v>
      </c>
    </row>
    <row r="401" spans="1:17">
      <c r="A401" s="11" t="s">
        <v>623</v>
      </c>
      <c r="B401" s="11" t="s">
        <v>624</v>
      </c>
      <c r="C401" s="11" t="s">
        <v>19</v>
      </c>
      <c r="D401" s="11">
        <v>18</v>
      </c>
      <c r="E401" s="11" t="s">
        <v>34</v>
      </c>
      <c r="F401" s="11" t="s">
        <v>35</v>
      </c>
      <c r="G401" s="11">
        <v>88</v>
      </c>
      <c r="H401" s="11">
        <v>1.5</v>
      </c>
      <c r="I401" s="11">
        <v>43</v>
      </c>
      <c r="J401" s="11">
        <v>66</v>
      </c>
      <c r="K401" s="11">
        <v>59</v>
      </c>
      <c r="L401" s="11">
        <v>35</v>
      </c>
      <c r="M401" s="11">
        <v>40</v>
      </c>
      <c r="N401" s="12">
        <f t="shared" si="24"/>
        <v>243</v>
      </c>
      <c r="O401" s="13">
        <f t="shared" si="25"/>
        <v>48.6</v>
      </c>
      <c r="P401" s="12" t="str">
        <f t="shared" si="26"/>
        <v>Improvement</v>
      </c>
      <c r="Q401" s="12" t="str">
        <f t="shared" si="27"/>
        <v>Bad</v>
      </c>
    </row>
    <row r="402" spans="1:17">
      <c r="A402" s="11" t="s">
        <v>625</v>
      </c>
      <c r="B402" s="11" t="s">
        <v>118</v>
      </c>
      <c r="C402" s="11" t="s">
        <v>30</v>
      </c>
      <c r="D402" s="11">
        <v>21</v>
      </c>
      <c r="E402" s="11" t="s">
        <v>48</v>
      </c>
      <c r="F402" s="11" t="s">
        <v>31</v>
      </c>
      <c r="G402" s="11">
        <v>99</v>
      </c>
      <c r="H402" s="11">
        <v>4.3</v>
      </c>
      <c r="I402" s="11">
        <v>68</v>
      </c>
      <c r="J402" s="11">
        <v>79</v>
      </c>
      <c r="K402" s="11">
        <v>70</v>
      </c>
      <c r="L402" s="11">
        <v>71</v>
      </c>
      <c r="M402" s="11">
        <v>78</v>
      </c>
      <c r="N402" s="12">
        <f t="shared" si="24"/>
        <v>366</v>
      </c>
      <c r="O402" s="13">
        <f t="shared" si="25"/>
        <v>73.2</v>
      </c>
      <c r="P402" s="12" t="str">
        <f t="shared" si="26"/>
        <v>Improvement</v>
      </c>
      <c r="Q402" s="12" t="str">
        <f t="shared" si="27"/>
        <v>Good</v>
      </c>
    </row>
    <row r="403" spans="1:17">
      <c r="A403" s="11" t="s">
        <v>626</v>
      </c>
      <c r="B403" s="11" t="s">
        <v>627</v>
      </c>
      <c r="C403" s="11" t="s">
        <v>19</v>
      </c>
      <c r="D403" s="11">
        <v>18</v>
      </c>
      <c r="E403" s="11" t="s">
        <v>38</v>
      </c>
      <c r="F403" s="11" t="s">
        <v>105</v>
      </c>
      <c r="G403" s="11">
        <v>93</v>
      </c>
      <c r="H403" s="11">
        <v>2.2</v>
      </c>
      <c r="I403" s="11">
        <v>45</v>
      </c>
      <c r="J403" s="11">
        <v>56</v>
      </c>
      <c r="K403" s="11">
        <v>54</v>
      </c>
      <c r="L403" s="11">
        <v>50</v>
      </c>
      <c r="M403" s="11">
        <v>46</v>
      </c>
      <c r="N403" s="12">
        <f t="shared" si="24"/>
        <v>251</v>
      </c>
      <c r="O403" s="13">
        <f t="shared" si="25"/>
        <v>50.2</v>
      </c>
      <c r="P403" s="12" t="str">
        <f t="shared" si="26"/>
        <v>Improvement</v>
      </c>
      <c r="Q403" s="12" t="str">
        <f t="shared" si="27"/>
        <v>Bad</v>
      </c>
    </row>
    <row r="404" spans="1:17">
      <c r="A404" s="11" t="s">
        <v>628</v>
      </c>
      <c r="B404" s="11" t="s">
        <v>185</v>
      </c>
      <c r="C404" s="11" t="s">
        <v>30</v>
      </c>
      <c r="D404" s="11">
        <v>20</v>
      </c>
      <c r="E404" s="11" t="s">
        <v>38</v>
      </c>
      <c r="F404" s="11" t="s">
        <v>44</v>
      </c>
      <c r="G404" s="11">
        <v>75</v>
      </c>
      <c r="H404" s="11">
        <v>6.1</v>
      </c>
      <c r="I404" s="11">
        <v>81</v>
      </c>
      <c r="J404" s="11">
        <v>67</v>
      </c>
      <c r="K404" s="11">
        <v>73</v>
      </c>
      <c r="L404" s="11">
        <v>71</v>
      </c>
      <c r="M404" s="11">
        <v>58</v>
      </c>
      <c r="N404" s="12">
        <f t="shared" si="24"/>
        <v>350</v>
      </c>
      <c r="O404" s="13">
        <f t="shared" si="25"/>
        <v>70</v>
      </c>
      <c r="P404" s="12" t="str">
        <f t="shared" si="26"/>
        <v>Improvement</v>
      </c>
      <c r="Q404" s="12" t="str">
        <f t="shared" si="27"/>
        <v>Good</v>
      </c>
    </row>
    <row r="405" spans="1:17">
      <c r="A405" s="11" t="s">
        <v>629</v>
      </c>
      <c r="B405" s="11" t="s">
        <v>630</v>
      </c>
      <c r="C405" s="11" t="s">
        <v>30</v>
      </c>
      <c r="D405" s="11">
        <v>21</v>
      </c>
      <c r="E405" s="11" t="s">
        <v>34</v>
      </c>
      <c r="F405" s="11" t="s">
        <v>44</v>
      </c>
      <c r="G405" s="11">
        <v>75</v>
      </c>
      <c r="H405" s="11">
        <v>3.6</v>
      </c>
      <c r="I405" s="11">
        <v>66</v>
      </c>
      <c r="J405" s="11">
        <v>58</v>
      </c>
      <c r="K405" s="11">
        <v>59</v>
      </c>
      <c r="L405" s="11">
        <v>67</v>
      </c>
      <c r="M405" s="11">
        <v>65</v>
      </c>
      <c r="N405" s="12">
        <f t="shared" si="24"/>
        <v>315</v>
      </c>
      <c r="O405" s="13">
        <f t="shared" si="25"/>
        <v>63</v>
      </c>
      <c r="P405" s="12" t="str">
        <f t="shared" si="26"/>
        <v>Improvement</v>
      </c>
      <c r="Q405" s="12" t="str">
        <f t="shared" si="27"/>
        <v>Good</v>
      </c>
    </row>
    <row r="406" spans="1:17">
      <c r="A406" s="11" t="s">
        <v>631</v>
      </c>
      <c r="B406" s="11" t="s">
        <v>37</v>
      </c>
      <c r="C406" s="11" t="s">
        <v>19</v>
      </c>
      <c r="D406" s="11">
        <v>22</v>
      </c>
      <c r="E406" s="11" t="s">
        <v>48</v>
      </c>
      <c r="F406" s="11" t="s">
        <v>35</v>
      </c>
      <c r="G406" s="11">
        <v>72</v>
      </c>
      <c r="H406" s="11">
        <v>4.9</v>
      </c>
      <c r="I406" s="11">
        <v>57</v>
      </c>
      <c r="J406" s="11">
        <v>66</v>
      </c>
      <c r="K406" s="11">
        <v>56</v>
      </c>
      <c r="L406" s="11">
        <v>67</v>
      </c>
      <c r="M406" s="11">
        <v>54</v>
      </c>
      <c r="N406" s="12">
        <f t="shared" si="24"/>
        <v>300</v>
      </c>
      <c r="O406" s="13">
        <f t="shared" si="25"/>
        <v>60</v>
      </c>
      <c r="P406" s="12" t="str">
        <f t="shared" si="26"/>
        <v>Improvement</v>
      </c>
      <c r="Q406" s="12" t="str">
        <f t="shared" si="27"/>
        <v>Good</v>
      </c>
    </row>
    <row r="407" spans="1:17">
      <c r="A407" s="11" t="s">
        <v>632</v>
      </c>
      <c r="B407" s="11" t="s">
        <v>531</v>
      </c>
      <c r="C407" s="11" t="s">
        <v>19</v>
      </c>
      <c r="D407" s="11">
        <v>21</v>
      </c>
      <c r="E407" s="11" t="s">
        <v>27</v>
      </c>
      <c r="F407" s="11" t="s">
        <v>31</v>
      </c>
      <c r="G407" s="11">
        <v>99</v>
      </c>
      <c r="H407" s="11">
        <v>5.1</v>
      </c>
      <c r="I407" s="11">
        <v>77</v>
      </c>
      <c r="J407" s="11">
        <v>59</v>
      </c>
      <c r="K407" s="11">
        <v>63</v>
      </c>
      <c r="L407" s="11">
        <v>73</v>
      </c>
      <c r="M407" s="11">
        <v>53</v>
      </c>
      <c r="N407" s="12">
        <f t="shared" si="24"/>
        <v>325</v>
      </c>
      <c r="O407" s="13">
        <f t="shared" si="25"/>
        <v>65</v>
      </c>
      <c r="P407" s="12" t="str">
        <f t="shared" si="26"/>
        <v>Improvement</v>
      </c>
      <c r="Q407" s="12" t="str">
        <f t="shared" si="27"/>
        <v>Good</v>
      </c>
    </row>
    <row r="408" spans="1:17">
      <c r="A408" s="11" t="s">
        <v>633</v>
      </c>
      <c r="B408" s="11" t="s">
        <v>72</v>
      </c>
      <c r="C408" s="11" t="s">
        <v>19</v>
      </c>
      <c r="D408" s="11">
        <v>20</v>
      </c>
      <c r="E408" s="11" t="s">
        <v>48</v>
      </c>
      <c r="F408" s="11" t="s">
        <v>105</v>
      </c>
      <c r="G408" s="11">
        <v>72</v>
      </c>
      <c r="H408" s="11">
        <v>4.4</v>
      </c>
      <c r="I408" s="11">
        <v>76</v>
      </c>
      <c r="J408" s="11">
        <v>65</v>
      </c>
      <c r="K408" s="11">
        <v>58</v>
      </c>
      <c r="L408" s="11">
        <v>63</v>
      </c>
      <c r="M408" s="11">
        <v>54</v>
      </c>
      <c r="N408" s="12">
        <f t="shared" si="24"/>
        <v>316</v>
      </c>
      <c r="O408" s="13">
        <f t="shared" si="25"/>
        <v>63.2</v>
      </c>
      <c r="P408" s="12" t="str">
        <f t="shared" si="26"/>
        <v>Improvement</v>
      </c>
      <c r="Q408" s="12" t="str">
        <f t="shared" si="27"/>
        <v>Good</v>
      </c>
    </row>
    <row r="409" spans="1:17">
      <c r="A409" s="11" t="s">
        <v>634</v>
      </c>
      <c r="B409" s="11" t="s">
        <v>635</v>
      </c>
      <c r="C409" s="11" t="s">
        <v>19</v>
      </c>
      <c r="D409" s="11">
        <v>21</v>
      </c>
      <c r="E409" s="11" t="s">
        <v>48</v>
      </c>
      <c r="F409" s="11" t="s">
        <v>52</v>
      </c>
      <c r="G409" s="11">
        <v>76</v>
      </c>
      <c r="H409" s="11">
        <v>3.4</v>
      </c>
      <c r="I409" s="11">
        <v>59</v>
      </c>
      <c r="J409" s="11">
        <v>60</v>
      </c>
      <c r="K409" s="11">
        <v>57</v>
      </c>
      <c r="L409" s="11">
        <v>66</v>
      </c>
      <c r="M409" s="11">
        <v>52</v>
      </c>
      <c r="N409" s="12">
        <f t="shared" si="24"/>
        <v>294</v>
      </c>
      <c r="O409" s="13">
        <f t="shared" si="25"/>
        <v>58.8</v>
      </c>
      <c r="P409" s="12" t="str">
        <f t="shared" si="26"/>
        <v>Improvement</v>
      </c>
      <c r="Q409" s="12" t="str">
        <f t="shared" si="27"/>
        <v>Bad</v>
      </c>
    </row>
    <row r="410" spans="1:17">
      <c r="A410" s="11" t="s">
        <v>636</v>
      </c>
      <c r="B410" s="11" t="s">
        <v>637</v>
      </c>
      <c r="C410" s="11" t="s">
        <v>30</v>
      </c>
      <c r="D410" s="11">
        <v>18</v>
      </c>
      <c r="E410" s="11" t="s">
        <v>34</v>
      </c>
      <c r="F410" s="11" t="s">
        <v>52</v>
      </c>
      <c r="G410" s="11">
        <v>79</v>
      </c>
      <c r="H410" s="11">
        <v>7.4</v>
      </c>
      <c r="I410" s="11">
        <v>75</v>
      </c>
      <c r="J410" s="11">
        <v>66</v>
      </c>
      <c r="K410" s="11">
        <v>87</v>
      </c>
      <c r="L410" s="11">
        <v>79</v>
      </c>
      <c r="M410" s="11">
        <v>67</v>
      </c>
      <c r="N410" s="12">
        <f t="shared" si="24"/>
        <v>374</v>
      </c>
      <c r="O410" s="13">
        <f t="shared" si="25"/>
        <v>74.8</v>
      </c>
      <c r="P410" s="12" t="str">
        <f t="shared" si="26"/>
        <v>Improvement</v>
      </c>
      <c r="Q410" s="12" t="str">
        <f t="shared" si="27"/>
        <v>Good</v>
      </c>
    </row>
    <row r="411" spans="1:17">
      <c r="A411" s="11" t="s">
        <v>638</v>
      </c>
      <c r="B411" s="11" t="s">
        <v>315</v>
      </c>
      <c r="C411" s="11" t="s">
        <v>30</v>
      </c>
      <c r="D411" s="11">
        <v>22</v>
      </c>
      <c r="E411" s="11" t="s">
        <v>48</v>
      </c>
      <c r="F411" s="11" t="s">
        <v>21</v>
      </c>
      <c r="G411" s="11">
        <v>88</v>
      </c>
      <c r="H411" s="11">
        <v>4.4</v>
      </c>
      <c r="I411" s="11">
        <v>69</v>
      </c>
      <c r="J411" s="11">
        <v>73</v>
      </c>
      <c r="K411" s="11">
        <v>71</v>
      </c>
      <c r="L411" s="11">
        <v>70</v>
      </c>
      <c r="M411" s="11">
        <v>64</v>
      </c>
      <c r="N411" s="12">
        <f t="shared" si="24"/>
        <v>347</v>
      </c>
      <c r="O411" s="13">
        <f t="shared" si="25"/>
        <v>69.4</v>
      </c>
      <c r="P411" s="12" t="str">
        <f t="shared" si="26"/>
        <v>Improvement</v>
      </c>
      <c r="Q411" s="12" t="str">
        <f t="shared" si="27"/>
        <v>Good</v>
      </c>
    </row>
    <row r="412" spans="1:17">
      <c r="A412" s="11" t="s">
        <v>639</v>
      </c>
      <c r="B412" s="11" t="s">
        <v>132</v>
      </c>
      <c r="C412" s="11" t="s">
        <v>30</v>
      </c>
      <c r="D412" s="11">
        <v>18</v>
      </c>
      <c r="E412" s="11" t="s">
        <v>48</v>
      </c>
      <c r="F412" s="11" t="s">
        <v>31</v>
      </c>
      <c r="G412" s="11">
        <v>79</v>
      </c>
      <c r="H412" s="11">
        <v>6.4</v>
      </c>
      <c r="I412" s="11">
        <v>62</v>
      </c>
      <c r="J412" s="11">
        <v>60</v>
      </c>
      <c r="K412" s="11">
        <v>70</v>
      </c>
      <c r="L412" s="11">
        <v>57</v>
      </c>
      <c r="M412" s="11">
        <v>64</v>
      </c>
      <c r="N412" s="12">
        <f t="shared" si="24"/>
        <v>313</v>
      </c>
      <c r="O412" s="13">
        <f t="shared" si="25"/>
        <v>62.6</v>
      </c>
      <c r="P412" s="12" t="str">
        <f t="shared" si="26"/>
        <v>Improvement</v>
      </c>
      <c r="Q412" s="12" t="str">
        <f t="shared" si="27"/>
        <v>Good</v>
      </c>
    </row>
    <row r="413" spans="1:17">
      <c r="A413" s="11" t="s">
        <v>640</v>
      </c>
      <c r="B413" s="11" t="s">
        <v>256</v>
      </c>
      <c r="C413" s="11" t="s">
        <v>30</v>
      </c>
      <c r="D413" s="11">
        <v>19</v>
      </c>
      <c r="E413" s="11" t="s">
        <v>24</v>
      </c>
      <c r="F413" s="11" t="s">
        <v>35</v>
      </c>
      <c r="G413" s="11">
        <v>68</v>
      </c>
      <c r="H413" s="11">
        <v>5.4</v>
      </c>
      <c r="I413" s="11">
        <v>65</v>
      </c>
      <c r="J413" s="11">
        <v>53</v>
      </c>
      <c r="K413" s="11">
        <v>71</v>
      </c>
      <c r="L413" s="11">
        <v>64</v>
      </c>
      <c r="M413" s="11">
        <v>50</v>
      </c>
      <c r="N413" s="12">
        <f t="shared" si="24"/>
        <v>303</v>
      </c>
      <c r="O413" s="13">
        <f t="shared" si="25"/>
        <v>60.6</v>
      </c>
      <c r="P413" s="12" t="str">
        <f t="shared" si="26"/>
        <v>Improvement</v>
      </c>
      <c r="Q413" s="12" t="str">
        <f t="shared" si="27"/>
        <v>Good</v>
      </c>
    </row>
    <row r="414" spans="1:17">
      <c r="A414" s="11" t="s">
        <v>641</v>
      </c>
      <c r="B414" s="11" t="s">
        <v>97</v>
      </c>
      <c r="C414" s="11" t="s">
        <v>30</v>
      </c>
      <c r="D414" s="11">
        <v>20</v>
      </c>
      <c r="E414" s="11" t="s">
        <v>34</v>
      </c>
      <c r="F414" s="11" t="s">
        <v>105</v>
      </c>
      <c r="G414" s="11">
        <v>80</v>
      </c>
      <c r="H414" s="11">
        <v>5.7</v>
      </c>
      <c r="I414" s="11">
        <v>67</v>
      </c>
      <c r="J414" s="11">
        <v>74</v>
      </c>
      <c r="K414" s="11">
        <v>73</v>
      </c>
      <c r="L414" s="11">
        <v>65</v>
      </c>
      <c r="M414" s="11">
        <v>64</v>
      </c>
      <c r="N414" s="12">
        <f t="shared" si="24"/>
        <v>343</v>
      </c>
      <c r="O414" s="13">
        <f t="shared" si="25"/>
        <v>68.6</v>
      </c>
      <c r="P414" s="12" t="str">
        <f t="shared" si="26"/>
        <v>Improvement</v>
      </c>
      <c r="Q414" s="12" t="str">
        <f t="shared" si="27"/>
        <v>Good</v>
      </c>
    </row>
    <row r="415" spans="1:17">
      <c r="A415" s="11" t="s">
        <v>642</v>
      </c>
      <c r="B415" s="11" t="s">
        <v>126</v>
      </c>
      <c r="C415" s="11" t="s">
        <v>30</v>
      </c>
      <c r="D415" s="11">
        <v>19</v>
      </c>
      <c r="E415" s="11" t="s">
        <v>24</v>
      </c>
      <c r="F415" s="11" t="s">
        <v>21</v>
      </c>
      <c r="G415" s="11">
        <v>72</v>
      </c>
      <c r="H415" s="11">
        <v>4.3</v>
      </c>
      <c r="I415" s="11">
        <v>64</v>
      </c>
      <c r="J415" s="11">
        <v>71</v>
      </c>
      <c r="K415" s="11">
        <v>54</v>
      </c>
      <c r="L415" s="11">
        <v>61</v>
      </c>
      <c r="M415" s="11">
        <v>65</v>
      </c>
      <c r="N415" s="12">
        <f t="shared" si="24"/>
        <v>315</v>
      </c>
      <c r="O415" s="13">
        <f t="shared" si="25"/>
        <v>63</v>
      </c>
      <c r="P415" s="12" t="str">
        <f t="shared" si="26"/>
        <v>Improvement</v>
      </c>
      <c r="Q415" s="12" t="str">
        <f t="shared" si="27"/>
        <v>Good</v>
      </c>
    </row>
    <row r="416" spans="1:17">
      <c r="A416" s="11" t="s">
        <v>643</v>
      </c>
      <c r="B416" s="11" t="s">
        <v>485</v>
      </c>
      <c r="C416" s="11" t="s">
        <v>30</v>
      </c>
      <c r="D416" s="11">
        <v>18</v>
      </c>
      <c r="E416" s="11" t="s">
        <v>20</v>
      </c>
      <c r="F416" s="11" t="s">
        <v>35</v>
      </c>
      <c r="G416" s="11">
        <v>84</v>
      </c>
      <c r="H416" s="11">
        <v>6.5</v>
      </c>
      <c r="I416" s="11">
        <v>65</v>
      </c>
      <c r="J416" s="11">
        <v>68</v>
      </c>
      <c r="K416" s="11">
        <v>58</v>
      </c>
      <c r="L416" s="11">
        <v>67</v>
      </c>
      <c r="M416" s="11">
        <v>56</v>
      </c>
      <c r="N416" s="12">
        <f t="shared" si="24"/>
        <v>314</v>
      </c>
      <c r="O416" s="13">
        <f t="shared" si="25"/>
        <v>62.8</v>
      </c>
      <c r="P416" s="12" t="str">
        <f t="shared" si="26"/>
        <v>Improvement</v>
      </c>
      <c r="Q416" s="12" t="str">
        <f t="shared" si="27"/>
        <v>Good</v>
      </c>
    </row>
    <row r="417" spans="1:17">
      <c r="A417" s="11" t="s">
        <v>644</v>
      </c>
      <c r="B417" s="11" t="s">
        <v>645</v>
      </c>
      <c r="C417" s="11" t="s">
        <v>30</v>
      </c>
      <c r="D417" s="11">
        <v>21</v>
      </c>
      <c r="E417" s="11" t="s">
        <v>34</v>
      </c>
      <c r="F417" s="11" t="s">
        <v>105</v>
      </c>
      <c r="G417" s="11">
        <v>65</v>
      </c>
      <c r="H417" s="11">
        <v>2.3</v>
      </c>
      <c r="I417" s="11">
        <v>59</v>
      </c>
      <c r="J417" s="11">
        <v>37</v>
      </c>
      <c r="K417" s="11">
        <v>68</v>
      </c>
      <c r="L417" s="11">
        <v>60</v>
      </c>
      <c r="M417" s="11">
        <v>52</v>
      </c>
      <c r="N417" s="12">
        <f t="shared" si="24"/>
        <v>276</v>
      </c>
      <c r="O417" s="13">
        <f t="shared" si="25"/>
        <v>55.2</v>
      </c>
      <c r="P417" s="12" t="str">
        <f t="shared" si="26"/>
        <v>Improvement</v>
      </c>
      <c r="Q417" s="12" t="str">
        <f t="shared" si="27"/>
        <v>Bad</v>
      </c>
    </row>
    <row r="418" spans="1:17">
      <c r="A418" s="11" t="s">
        <v>646</v>
      </c>
      <c r="B418" s="11" t="s">
        <v>381</v>
      </c>
      <c r="C418" s="11" t="s">
        <v>30</v>
      </c>
      <c r="D418" s="11">
        <v>19</v>
      </c>
      <c r="E418" s="11" t="s">
        <v>38</v>
      </c>
      <c r="F418" s="11" t="s">
        <v>35</v>
      </c>
      <c r="G418" s="11">
        <v>85</v>
      </c>
      <c r="H418" s="11">
        <v>6.5</v>
      </c>
      <c r="I418" s="11">
        <v>90</v>
      </c>
      <c r="J418" s="11">
        <v>91</v>
      </c>
      <c r="K418" s="11">
        <v>93</v>
      </c>
      <c r="L418" s="11">
        <v>77</v>
      </c>
      <c r="M418" s="11">
        <v>92</v>
      </c>
      <c r="N418" s="12">
        <f t="shared" si="24"/>
        <v>443</v>
      </c>
      <c r="O418" s="13">
        <f t="shared" si="25"/>
        <v>88.6</v>
      </c>
      <c r="P418" s="12" t="str">
        <f t="shared" si="26"/>
        <v>TopPerformer</v>
      </c>
      <c r="Q418" s="12" t="str">
        <f t="shared" si="27"/>
        <v>Excellent</v>
      </c>
    </row>
    <row r="419" spans="1:17">
      <c r="A419" s="11" t="s">
        <v>647</v>
      </c>
      <c r="B419" s="11" t="s">
        <v>537</v>
      </c>
      <c r="C419" s="11" t="s">
        <v>19</v>
      </c>
      <c r="D419" s="11">
        <v>22</v>
      </c>
      <c r="E419" s="11" t="s">
        <v>38</v>
      </c>
      <c r="F419" s="11" t="s">
        <v>105</v>
      </c>
      <c r="G419" s="11">
        <v>86</v>
      </c>
      <c r="H419" s="11">
        <v>4</v>
      </c>
      <c r="I419" s="11">
        <v>46</v>
      </c>
      <c r="J419" s="11">
        <v>50</v>
      </c>
      <c r="K419" s="11">
        <v>48</v>
      </c>
      <c r="L419" s="11">
        <v>44</v>
      </c>
      <c r="M419" s="11">
        <v>58</v>
      </c>
      <c r="N419" s="12">
        <f t="shared" si="24"/>
        <v>246</v>
      </c>
      <c r="O419" s="13">
        <f t="shared" si="25"/>
        <v>49.2</v>
      </c>
      <c r="P419" s="12" t="str">
        <f t="shared" si="26"/>
        <v>Improvement</v>
      </c>
      <c r="Q419" s="12" t="str">
        <f t="shared" si="27"/>
        <v>Bad</v>
      </c>
    </row>
    <row r="420" spans="1:17">
      <c r="A420" s="11" t="s">
        <v>648</v>
      </c>
      <c r="B420" s="11" t="s">
        <v>606</v>
      </c>
      <c r="C420" s="11" t="s">
        <v>30</v>
      </c>
      <c r="D420" s="11">
        <v>18</v>
      </c>
      <c r="E420" s="11" t="s">
        <v>20</v>
      </c>
      <c r="F420" s="11" t="s">
        <v>105</v>
      </c>
      <c r="G420" s="11">
        <v>85</v>
      </c>
      <c r="H420" s="11">
        <v>5.4</v>
      </c>
      <c r="I420" s="11">
        <v>67</v>
      </c>
      <c r="J420" s="11">
        <v>54</v>
      </c>
      <c r="K420" s="11">
        <v>70</v>
      </c>
      <c r="L420" s="11">
        <v>80</v>
      </c>
      <c r="M420" s="11">
        <v>71</v>
      </c>
      <c r="N420" s="12">
        <f t="shared" si="24"/>
        <v>342</v>
      </c>
      <c r="O420" s="13">
        <f t="shared" si="25"/>
        <v>68.4</v>
      </c>
      <c r="P420" s="12" t="str">
        <f t="shared" si="26"/>
        <v>Improvement</v>
      </c>
      <c r="Q420" s="12" t="str">
        <f t="shared" si="27"/>
        <v>Good</v>
      </c>
    </row>
    <row r="421" spans="1:17">
      <c r="A421" s="11" t="s">
        <v>649</v>
      </c>
      <c r="B421" s="11" t="s">
        <v>531</v>
      </c>
      <c r="C421" s="11" t="s">
        <v>19</v>
      </c>
      <c r="D421" s="11">
        <v>18</v>
      </c>
      <c r="E421" s="11" t="s">
        <v>20</v>
      </c>
      <c r="F421" s="11" t="s">
        <v>44</v>
      </c>
      <c r="G421" s="11">
        <v>79</v>
      </c>
      <c r="H421" s="11">
        <v>4.5</v>
      </c>
      <c r="I421" s="11">
        <v>82</v>
      </c>
      <c r="J421" s="11">
        <v>56</v>
      </c>
      <c r="K421" s="11">
        <v>66</v>
      </c>
      <c r="L421" s="11">
        <v>77</v>
      </c>
      <c r="M421" s="11">
        <v>82</v>
      </c>
      <c r="N421" s="12">
        <f t="shared" si="24"/>
        <v>363</v>
      </c>
      <c r="O421" s="13">
        <f t="shared" si="25"/>
        <v>72.6</v>
      </c>
      <c r="P421" s="12" t="str">
        <f t="shared" si="26"/>
        <v>Improvement</v>
      </c>
      <c r="Q421" s="12" t="str">
        <f t="shared" si="27"/>
        <v>Good</v>
      </c>
    </row>
    <row r="422" spans="1:17">
      <c r="A422" s="11" t="s">
        <v>650</v>
      </c>
      <c r="B422" s="11" t="s">
        <v>197</v>
      </c>
      <c r="C422" s="11" t="s">
        <v>30</v>
      </c>
      <c r="D422" s="11">
        <v>18</v>
      </c>
      <c r="E422" s="11" t="s">
        <v>34</v>
      </c>
      <c r="F422" s="11" t="s">
        <v>105</v>
      </c>
      <c r="G422" s="11">
        <v>85</v>
      </c>
      <c r="H422" s="11">
        <v>4.9</v>
      </c>
      <c r="I422" s="11">
        <v>73</v>
      </c>
      <c r="J422" s="11">
        <v>78</v>
      </c>
      <c r="K422" s="11">
        <v>85</v>
      </c>
      <c r="L422" s="11">
        <v>91</v>
      </c>
      <c r="M422" s="11">
        <v>81</v>
      </c>
      <c r="N422" s="12">
        <f t="shared" si="24"/>
        <v>408</v>
      </c>
      <c r="O422" s="13">
        <f t="shared" si="25"/>
        <v>81.6</v>
      </c>
      <c r="P422" s="12" t="str">
        <f t="shared" si="26"/>
        <v>TopPerformer</v>
      </c>
      <c r="Q422" s="12" t="str">
        <f t="shared" si="27"/>
        <v>Excellent</v>
      </c>
    </row>
    <row r="423" spans="1:17">
      <c r="A423" s="11" t="s">
        <v>651</v>
      </c>
      <c r="B423" s="11" t="s">
        <v>611</v>
      </c>
      <c r="C423" s="11" t="s">
        <v>19</v>
      </c>
      <c r="D423" s="11">
        <v>20</v>
      </c>
      <c r="E423" s="11" t="s">
        <v>38</v>
      </c>
      <c r="F423" s="11" t="s">
        <v>44</v>
      </c>
      <c r="G423" s="11">
        <v>80</v>
      </c>
      <c r="H423" s="11">
        <v>4.1</v>
      </c>
      <c r="I423" s="11">
        <v>68</v>
      </c>
      <c r="J423" s="11">
        <v>48</v>
      </c>
      <c r="K423" s="11">
        <v>54</v>
      </c>
      <c r="L423" s="11">
        <v>58</v>
      </c>
      <c r="M423" s="11">
        <v>74</v>
      </c>
      <c r="N423" s="12">
        <f t="shared" si="24"/>
        <v>302</v>
      </c>
      <c r="O423" s="13">
        <f t="shared" si="25"/>
        <v>60.4</v>
      </c>
      <c r="P423" s="12" t="str">
        <f t="shared" si="26"/>
        <v>Improvement</v>
      </c>
      <c r="Q423" s="12" t="str">
        <f t="shared" si="27"/>
        <v>Good</v>
      </c>
    </row>
    <row r="424" spans="1:17">
      <c r="A424" s="11" t="s">
        <v>652</v>
      </c>
      <c r="B424" s="11" t="s">
        <v>142</v>
      </c>
      <c r="C424" s="11" t="s">
        <v>30</v>
      </c>
      <c r="D424" s="11">
        <v>20</v>
      </c>
      <c r="E424" s="11" t="s">
        <v>34</v>
      </c>
      <c r="F424" s="11" t="s">
        <v>52</v>
      </c>
      <c r="G424" s="11">
        <v>96</v>
      </c>
      <c r="H424" s="11">
        <v>1</v>
      </c>
      <c r="I424" s="11">
        <v>71</v>
      </c>
      <c r="J424" s="11">
        <v>54</v>
      </c>
      <c r="K424" s="11">
        <v>40</v>
      </c>
      <c r="L424" s="11">
        <v>49</v>
      </c>
      <c r="M424" s="11">
        <v>50</v>
      </c>
      <c r="N424" s="12">
        <f t="shared" si="24"/>
        <v>264</v>
      </c>
      <c r="O424" s="13">
        <f t="shared" si="25"/>
        <v>52.8</v>
      </c>
      <c r="P424" s="12" t="str">
        <f t="shared" si="26"/>
        <v>Improvement</v>
      </c>
      <c r="Q424" s="12" t="str">
        <f t="shared" si="27"/>
        <v>Bad</v>
      </c>
    </row>
    <row r="425" spans="1:17">
      <c r="A425" s="11" t="s">
        <v>653</v>
      </c>
      <c r="B425" s="11" t="s">
        <v>353</v>
      </c>
      <c r="C425" s="11" t="s">
        <v>30</v>
      </c>
      <c r="D425" s="11">
        <v>20</v>
      </c>
      <c r="E425" s="11" t="s">
        <v>34</v>
      </c>
      <c r="F425" s="11" t="s">
        <v>21</v>
      </c>
      <c r="G425" s="11">
        <v>77</v>
      </c>
      <c r="H425" s="11">
        <v>5</v>
      </c>
      <c r="I425" s="11">
        <v>55</v>
      </c>
      <c r="J425" s="11">
        <v>49</v>
      </c>
      <c r="K425" s="11">
        <v>51</v>
      </c>
      <c r="L425" s="11">
        <v>56</v>
      </c>
      <c r="M425" s="11">
        <v>54</v>
      </c>
      <c r="N425" s="12">
        <f t="shared" si="24"/>
        <v>265</v>
      </c>
      <c r="O425" s="13">
        <f t="shared" si="25"/>
        <v>53</v>
      </c>
      <c r="P425" s="12" t="str">
        <f t="shared" si="26"/>
        <v>Improvement</v>
      </c>
      <c r="Q425" s="12" t="str">
        <f t="shared" si="27"/>
        <v>Bad</v>
      </c>
    </row>
    <row r="426" spans="1:17">
      <c r="A426" s="11" t="s">
        <v>654</v>
      </c>
      <c r="B426" s="11" t="s">
        <v>174</v>
      </c>
      <c r="C426" s="11" t="s">
        <v>19</v>
      </c>
      <c r="D426" s="11">
        <v>18</v>
      </c>
      <c r="E426" s="11" t="s">
        <v>20</v>
      </c>
      <c r="F426" s="11" t="s">
        <v>44</v>
      </c>
      <c r="G426" s="11">
        <v>72</v>
      </c>
      <c r="H426" s="11">
        <v>3.1</v>
      </c>
      <c r="I426" s="11">
        <v>67</v>
      </c>
      <c r="J426" s="11">
        <v>50</v>
      </c>
      <c r="K426" s="11">
        <v>62</v>
      </c>
      <c r="L426" s="11">
        <v>55</v>
      </c>
      <c r="M426" s="11">
        <v>55</v>
      </c>
      <c r="N426" s="12">
        <f t="shared" si="24"/>
        <v>289</v>
      </c>
      <c r="O426" s="13">
        <f t="shared" si="25"/>
        <v>57.8</v>
      </c>
      <c r="P426" s="12" t="str">
        <f t="shared" si="26"/>
        <v>Improvement</v>
      </c>
      <c r="Q426" s="12" t="str">
        <f t="shared" si="27"/>
        <v>Bad</v>
      </c>
    </row>
    <row r="427" spans="1:17">
      <c r="A427" s="11" t="s">
        <v>655</v>
      </c>
      <c r="B427" s="11" t="s">
        <v>469</v>
      </c>
      <c r="C427" s="11" t="s">
        <v>19</v>
      </c>
      <c r="D427" s="11">
        <v>18</v>
      </c>
      <c r="E427" s="11" t="s">
        <v>24</v>
      </c>
      <c r="F427" s="11" t="s">
        <v>44</v>
      </c>
      <c r="G427" s="11">
        <v>83</v>
      </c>
      <c r="H427" s="11">
        <v>3.4</v>
      </c>
      <c r="I427" s="11">
        <v>64</v>
      </c>
      <c r="J427" s="11">
        <v>60</v>
      </c>
      <c r="K427" s="11">
        <v>53</v>
      </c>
      <c r="L427" s="11">
        <v>57</v>
      </c>
      <c r="M427" s="11">
        <v>56</v>
      </c>
      <c r="N427" s="12">
        <f t="shared" si="24"/>
        <v>290</v>
      </c>
      <c r="O427" s="13">
        <f t="shared" si="25"/>
        <v>58</v>
      </c>
      <c r="P427" s="12" t="str">
        <f t="shared" si="26"/>
        <v>Improvement</v>
      </c>
      <c r="Q427" s="12" t="str">
        <f t="shared" si="27"/>
        <v>Bad</v>
      </c>
    </row>
    <row r="428" spans="1:17">
      <c r="A428" s="11" t="s">
        <v>656</v>
      </c>
      <c r="B428" s="11" t="s">
        <v>657</v>
      </c>
      <c r="C428" s="11" t="s">
        <v>19</v>
      </c>
      <c r="D428" s="11">
        <v>21</v>
      </c>
      <c r="E428" s="11" t="s">
        <v>38</v>
      </c>
      <c r="F428" s="11" t="s">
        <v>39</v>
      </c>
      <c r="G428" s="11">
        <v>73</v>
      </c>
      <c r="H428" s="11">
        <v>1.4</v>
      </c>
      <c r="I428" s="11">
        <v>55</v>
      </c>
      <c r="J428" s="11">
        <v>45</v>
      </c>
      <c r="K428" s="11">
        <v>70</v>
      </c>
      <c r="L428" s="11">
        <v>57</v>
      </c>
      <c r="M428" s="11">
        <v>61</v>
      </c>
      <c r="N428" s="12">
        <f t="shared" si="24"/>
        <v>288</v>
      </c>
      <c r="O428" s="13">
        <f t="shared" si="25"/>
        <v>57.6</v>
      </c>
      <c r="P428" s="12" t="str">
        <f t="shared" si="26"/>
        <v>Improvement</v>
      </c>
      <c r="Q428" s="12" t="str">
        <f t="shared" si="27"/>
        <v>Bad</v>
      </c>
    </row>
    <row r="429" spans="1:17">
      <c r="A429" s="11" t="s">
        <v>658</v>
      </c>
      <c r="B429" s="11" t="s">
        <v>659</v>
      </c>
      <c r="C429" s="11" t="s">
        <v>19</v>
      </c>
      <c r="D429" s="11">
        <v>18</v>
      </c>
      <c r="E429" s="11" t="s">
        <v>27</v>
      </c>
      <c r="F429" s="11" t="s">
        <v>105</v>
      </c>
      <c r="G429" s="11">
        <v>58</v>
      </c>
      <c r="H429" s="11">
        <v>3.1</v>
      </c>
      <c r="I429" s="11">
        <v>61</v>
      </c>
      <c r="J429" s="11">
        <v>62</v>
      </c>
      <c r="K429" s="11">
        <v>71</v>
      </c>
      <c r="L429" s="11">
        <v>63</v>
      </c>
      <c r="M429" s="11">
        <v>66</v>
      </c>
      <c r="N429" s="12">
        <f t="shared" si="24"/>
        <v>323</v>
      </c>
      <c r="O429" s="13">
        <f t="shared" si="25"/>
        <v>64.6</v>
      </c>
      <c r="P429" s="12" t="str">
        <f t="shared" si="26"/>
        <v>Improvement</v>
      </c>
      <c r="Q429" s="12" t="str">
        <f t="shared" si="27"/>
        <v>Good</v>
      </c>
    </row>
    <row r="430" spans="1:17">
      <c r="A430" s="11" t="s">
        <v>660</v>
      </c>
      <c r="B430" s="11" t="s">
        <v>535</v>
      </c>
      <c r="C430" s="11" t="s">
        <v>30</v>
      </c>
      <c r="D430" s="11">
        <v>21</v>
      </c>
      <c r="E430" s="11" t="s">
        <v>20</v>
      </c>
      <c r="F430" s="11" t="s">
        <v>21</v>
      </c>
      <c r="G430" s="11">
        <v>82</v>
      </c>
      <c r="H430" s="11">
        <v>2.9</v>
      </c>
      <c r="I430" s="11">
        <v>51</v>
      </c>
      <c r="J430" s="11">
        <v>51</v>
      </c>
      <c r="K430" s="11">
        <v>46</v>
      </c>
      <c r="L430" s="11">
        <v>44</v>
      </c>
      <c r="M430" s="11">
        <v>55</v>
      </c>
      <c r="N430" s="12">
        <f t="shared" si="24"/>
        <v>247</v>
      </c>
      <c r="O430" s="13">
        <f t="shared" si="25"/>
        <v>49.4</v>
      </c>
      <c r="P430" s="12" t="str">
        <f t="shared" si="26"/>
        <v>Improvement</v>
      </c>
      <c r="Q430" s="12" t="str">
        <f t="shared" si="27"/>
        <v>Bad</v>
      </c>
    </row>
    <row r="431" spans="1:17">
      <c r="A431" s="11" t="s">
        <v>661</v>
      </c>
      <c r="B431" s="11" t="s">
        <v>148</v>
      </c>
      <c r="C431" s="11" t="s">
        <v>30</v>
      </c>
      <c r="D431" s="11">
        <v>20</v>
      </c>
      <c r="E431" s="11" t="s">
        <v>20</v>
      </c>
      <c r="F431" s="11" t="s">
        <v>64</v>
      </c>
      <c r="G431" s="11">
        <v>84</v>
      </c>
      <c r="H431" s="11">
        <v>2.7</v>
      </c>
      <c r="I431" s="11">
        <v>62</v>
      </c>
      <c r="J431" s="11">
        <v>65</v>
      </c>
      <c r="K431" s="11">
        <v>59</v>
      </c>
      <c r="L431" s="11">
        <v>68</v>
      </c>
      <c r="M431" s="11">
        <v>59</v>
      </c>
      <c r="N431" s="12">
        <f t="shared" si="24"/>
        <v>313</v>
      </c>
      <c r="O431" s="13">
        <f t="shared" si="25"/>
        <v>62.6</v>
      </c>
      <c r="P431" s="12" t="str">
        <f t="shared" si="26"/>
        <v>Improvement</v>
      </c>
      <c r="Q431" s="12" t="str">
        <f t="shared" si="27"/>
        <v>Good</v>
      </c>
    </row>
    <row r="432" spans="1:17">
      <c r="A432" s="11" t="s">
        <v>662</v>
      </c>
      <c r="B432" s="11" t="s">
        <v>262</v>
      </c>
      <c r="C432" s="11" t="s">
        <v>30</v>
      </c>
      <c r="D432" s="11">
        <v>19</v>
      </c>
      <c r="E432" s="11" t="s">
        <v>24</v>
      </c>
      <c r="F432" s="11" t="s">
        <v>35</v>
      </c>
      <c r="G432" s="11">
        <v>84</v>
      </c>
      <c r="H432" s="11">
        <v>4.9</v>
      </c>
      <c r="I432" s="11">
        <v>76</v>
      </c>
      <c r="J432" s="11">
        <v>70</v>
      </c>
      <c r="K432" s="11">
        <v>67</v>
      </c>
      <c r="L432" s="11">
        <v>78</v>
      </c>
      <c r="M432" s="11">
        <v>77</v>
      </c>
      <c r="N432" s="12">
        <f t="shared" si="24"/>
        <v>368</v>
      </c>
      <c r="O432" s="13">
        <f t="shared" si="25"/>
        <v>73.6</v>
      </c>
      <c r="P432" s="12" t="str">
        <f t="shared" si="26"/>
        <v>Improvement</v>
      </c>
      <c r="Q432" s="12" t="str">
        <f t="shared" si="27"/>
        <v>Good</v>
      </c>
    </row>
    <row r="433" spans="1:17">
      <c r="A433" s="11" t="s">
        <v>663</v>
      </c>
      <c r="B433" s="11" t="s">
        <v>645</v>
      </c>
      <c r="C433" s="11" t="s">
        <v>30</v>
      </c>
      <c r="D433" s="11">
        <v>18</v>
      </c>
      <c r="E433" s="11" t="s">
        <v>24</v>
      </c>
      <c r="F433" s="11" t="s">
        <v>105</v>
      </c>
      <c r="G433" s="11">
        <v>76</v>
      </c>
      <c r="H433" s="11">
        <v>6.3</v>
      </c>
      <c r="I433" s="11">
        <v>76</v>
      </c>
      <c r="J433" s="11">
        <v>81</v>
      </c>
      <c r="K433" s="11">
        <v>80</v>
      </c>
      <c r="L433" s="11">
        <v>57</v>
      </c>
      <c r="M433" s="11">
        <v>72</v>
      </c>
      <c r="N433" s="12">
        <f t="shared" si="24"/>
        <v>366</v>
      </c>
      <c r="O433" s="13">
        <f t="shared" si="25"/>
        <v>73.2</v>
      </c>
      <c r="P433" s="12" t="str">
        <f t="shared" si="26"/>
        <v>Improvement</v>
      </c>
      <c r="Q433" s="12" t="str">
        <f t="shared" si="27"/>
        <v>Good</v>
      </c>
    </row>
    <row r="434" spans="1:17">
      <c r="A434" s="11" t="s">
        <v>664</v>
      </c>
      <c r="B434" s="11" t="s">
        <v>524</v>
      </c>
      <c r="C434" s="11" t="s">
        <v>19</v>
      </c>
      <c r="D434" s="11">
        <v>21</v>
      </c>
      <c r="E434" s="11" t="s">
        <v>20</v>
      </c>
      <c r="F434" s="11" t="s">
        <v>105</v>
      </c>
      <c r="G434" s="11">
        <v>92</v>
      </c>
      <c r="H434" s="11">
        <v>3.3</v>
      </c>
      <c r="I434" s="11">
        <v>60</v>
      </c>
      <c r="J434" s="11">
        <v>54</v>
      </c>
      <c r="K434" s="11">
        <v>56</v>
      </c>
      <c r="L434" s="11">
        <v>55</v>
      </c>
      <c r="M434" s="11">
        <v>75</v>
      </c>
      <c r="N434" s="12">
        <f t="shared" si="24"/>
        <v>300</v>
      </c>
      <c r="O434" s="13">
        <f t="shared" si="25"/>
        <v>60</v>
      </c>
      <c r="P434" s="12" t="str">
        <f t="shared" si="26"/>
        <v>Improvement</v>
      </c>
      <c r="Q434" s="12" t="str">
        <f t="shared" si="27"/>
        <v>Good</v>
      </c>
    </row>
    <row r="435" spans="1:17">
      <c r="A435" s="11" t="s">
        <v>665</v>
      </c>
      <c r="B435" s="11" t="s">
        <v>93</v>
      </c>
      <c r="C435" s="11" t="s">
        <v>19</v>
      </c>
      <c r="D435" s="11">
        <v>19</v>
      </c>
      <c r="E435" s="11" t="s">
        <v>48</v>
      </c>
      <c r="F435" s="11" t="s">
        <v>31</v>
      </c>
      <c r="G435" s="11">
        <v>74</v>
      </c>
      <c r="H435" s="11">
        <v>5.1</v>
      </c>
      <c r="I435" s="11">
        <v>73</v>
      </c>
      <c r="J435" s="11">
        <v>71</v>
      </c>
      <c r="K435" s="11">
        <v>72</v>
      </c>
      <c r="L435" s="11">
        <v>73</v>
      </c>
      <c r="M435" s="11">
        <v>73</v>
      </c>
      <c r="N435" s="12">
        <f t="shared" si="24"/>
        <v>362</v>
      </c>
      <c r="O435" s="13">
        <f t="shared" si="25"/>
        <v>72.4</v>
      </c>
      <c r="P435" s="12" t="str">
        <f t="shared" si="26"/>
        <v>Improvement</v>
      </c>
      <c r="Q435" s="12" t="str">
        <f t="shared" si="27"/>
        <v>Good</v>
      </c>
    </row>
    <row r="436" spans="1:17">
      <c r="A436" s="11" t="s">
        <v>666</v>
      </c>
      <c r="B436" s="11" t="s">
        <v>63</v>
      </c>
      <c r="C436" s="11" t="s">
        <v>19</v>
      </c>
      <c r="D436" s="11">
        <v>22</v>
      </c>
      <c r="E436" s="11" t="s">
        <v>48</v>
      </c>
      <c r="F436" s="11" t="s">
        <v>35</v>
      </c>
      <c r="G436" s="11">
        <v>70</v>
      </c>
      <c r="H436" s="11">
        <v>2.2</v>
      </c>
      <c r="I436" s="11">
        <v>50</v>
      </c>
      <c r="J436" s="11">
        <v>45</v>
      </c>
      <c r="K436" s="11">
        <v>47</v>
      </c>
      <c r="L436" s="11">
        <v>32</v>
      </c>
      <c r="M436" s="11">
        <v>57</v>
      </c>
      <c r="N436" s="12">
        <f t="shared" si="24"/>
        <v>231</v>
      </c>
      <c r="O436" s="13">
        <f t="shared" si="25"/>
        <v>46.2</v>
      </c>
      <c r="P436" s="12" t="str">
        <f t="shared" si="26"/>
        <v>Improvement</v>
      </c>
      <c r="Q436" s="12" t="str">
        <f t="shared" si="27"/>
        <v>Bad</v>
      </c>
    </row>
    <row r="437" spans="1:17">
      <c r="A437" s="11" t="s">
        <v>667</v>
      </c>
      <c r="B437" s="11" t="s">
        <v>471</v>
      </c>
      <c r="C437" s="11" t="s">
        <v>19</v>
      </c>
      <c r="D437" s="11">
        <v>19</v>
      </c>
      <c r="E437" s="11" t="s">
        <v>24</v>
      </c>
      <c r="F437" s="11" t="s">
        <v>64</v>
      </c>
      <c r="G437" s="11">
        <v>73</v>
      </c>
      <c r="H437" s="11">
        <v>3</v>
      </c>
      <c r="I437" s="11">
        <v>83</v>
      </c>
      <c r="J437" s="11">
        <v>63</v>
      </c>
      <c r="K437" s="11">
        <v>73</v>
      </c>
      <c r="L437" s="11">
        <v>70</v>
      </c>
      <c r="M437" s="11">
        <v>63</v>
      </c>
      <c r="N437" s="12">
        <f t="shared" si="24"/>
        <v>352</v>
      </c>
      <c r="O437" s="13">
        <f t="shared" si="25"/>
        <v>70.4</v>
      </c>
      <c r="P437" s="12" t="str">
        <f t="shared" si="26"/>
        <v>Improvement</v>
      </c>
      <c r="Q437" s="12" t="str">
        <f t="shared" si="27"/>
        <v>Good</v>
      </c>
    </row>
    <row r="438" spans="1:17">
      <c r="A438" s="11" t="s">
        <v>668</v>
      </c>
      <c r="B438" s="11" t="s">
        <v>669</v>
      </c>
      <c r="C438" s="11" t="s">
        <v>30</v>
      </c>
      <c r="D438" s="11">
        <v>22</v>
      </c>
      <c r="E438" s="11" t="s">
        <v>27</v>
      </c>
      <c r="F438" s="11" t="s">
        <v>39</v>
      </c>
      <c r="G438" s="11">
        <v>96</v>
      </c>
      <c r="H438" s="11">
        <v>4.1</v>
      </c>
      <c r="I438" s="11">
        <v>47</v>
      </c>
      <c r="J438" s="11">
        <v>55</v>
      </c>
      <c r="K438" s="11">
        <v>48</v>
      </c>
      <c r="L438" s="11">
        <v>56</v>
      </c>
      <c r="M438" s="11">
        <v>43</v>
      </c>
      <c r="N438" s="12">
        <f t="shared" si="24"/>
        <v>249</v>
      </c>
      <c r="O438" s="13">
        <f t="shared" si="25"/>
        <v>49.8</v>
      </c>
      <c r="P438" s="12" t="str">
        <f t="shared" si="26"/>
        <v>Improvement</v>
      </c>
      <c r="Q438" s="12" t="str">
        <f t="shared" si="27"/>
        <v>Bad</v>
      </c>
    </row>
    <row r="439" spans="1:17">
      <c r="A439" s="11" t="s">
        <v>670</v>
      </c>
      <c r="B439" s="11" t="s">
        <v>576</v>
      </c>
      <c r="C439" s="11" t="s">
        <v>19</v>
      </c>
      <c r="D439" s="11">
        <v>21</v>
      </c>
      <c r="E439" s="11" t="s">
        <v>24</v>
      </c>
      <c r="F439" s="11" t="s">
        <v>52</v>
      </c>
      <c r="G439" s="11">
        <v>78</v>
      </c>
      <c r="H439" s="11">
        <v>5.6</v>
      </c>
      <c r="I439" s="11">
        <v>67</v>
      </c>
      <c r="J439" s="11">
        <v>65</v>
      </c>
      <c r="K439" s="11">
        <v>52</v>
      </c>
      <c r="L439" s="11">
        <v>54</v>
      </c>
      <c r="M439" s="11">
        <v>65</v>
      </c>
      <c r="N439" s="12">
        <f t="shared" si="24"/>
        <v>303</v>
      </c>
      <c r="O439" s="13">
        <f t="shared" si="25"/>
        <v>60.6</v>
      </c>
      <c r="P439" s="12" t="str">
        <f t="shared" si="26"/>
        <v>Improvement</v>
      </c>
      <c r="Q439" s="12" t="str">
        <f t="shared" si="27"/>
        <v>Good</v>
      </c>
    </row>
    <row r="440" spans="1:17">
      <c r="A440" s="11" t="s">
        <v>671</v>
      </c>
      <c r="B440" s="11" t="s">
        <v>630</v>
      </c>
      <c r="C440" s="11" t="s">
        <v>30</v>
      </c>
      <c r="D440" s="11">
        <v>20</v>
      </c>
      <c r="E440" s="11" t="s">
        <v>48</v>
      </c>
      <c r="F440" s="11" t="s">
        <v>31</v>
      </c>
      <c r="G440" s="11">
        <v>55</v>
      </c>
      <c r="H440" s="11">
        <v>4.9</v>
      </c>
      <c r="I440" s="11">
        <v>71</v>
      </c>
      <c r="J440" s="11">
        <v>55</v>
      </c>
      <c r="K440" s="11">
        <v>65</v>
      </c>
      <c r="L440" s="11">
        <v>69</v>
      </c>
      <c r="M440" s="11">
        <v>58</v>
      </c>
      <c r="N440" s="12">
        <f t="shared" si="24"/>
        <v>318</v>
      </c>
      <c r="O440" s="13">
        <f t="shared" si="25"/>
        <v>63.6</v>
      </c>
      <c r="P440" s="12" t="str">
        <f t="shared" si="26"/>
        <v>Improvement</v>
      </c>
      <c r="Q440" s="12" t="str">
        <f t="shared" si="27"/>
        <v>Good</v>
      </c>
    </row>
    <row r="441" spans="1:17">
      <c r="A441" s="11" t="s">
        <v>672</v>
      </c>
      <c r="B441" s="11" t="s">
        <v>99</v>
      </c>
      <c r="C441" s="11" t="s">
        <v>19</v>
      </c>
      <c r="D441" s="11">
        <v>21</v>
      </c>
      <c r="E441" s="11" t="s">
        <v>20</v>
      </c>
      <c r="F441" s="11" t="s">
        <v>31</v>
      </c>
      <c r="G441" s="11">
        <v>86</v>
      </c>
      <c r="H441" s="11">
        <v>3.8</v>
      </c>
      <c r="I441" s="11">
        <v>68</v>
      </c>
      <c r="J441" s="11">
        <v>61</v>
      </c>
      <c r="K441" s="11">
        <v>88</v>
      </c>
      <c r="L441" s="11">
        <v>67</v>
      </c>
      <c r="M441" s="11">
        <v>67</v>
      </c>
      <c r="N441" s="12">
        <f t="shared" si="24"/>
        <v>351</v>
      </c>
      <c r="O441" s="13">
        <f t="shared" si="25"/>
        <v>70.2</v>
      </c>
      <c r="P441" s="12" t="str">
        <f t="shared" si="26"/>
        <v>Improvement</v>
      </c>
      <c r="Q441" s="12" t="str">
        <f t="shared" si="27"/>
        <v>Good</v>
      </c>
    </row>
    <row r="442" spans="1:17">
      <c r="A442" s="11" t="s">
        <v>673</v>
      </c>
      <c r="B442" s="11" t="s">
        <v>110</v>
      </c>
      <c r="C442" s="11" t="s">
        <v>30</v>
      </c>
      <c r="D442" s="11">
        <v>21</v>
      </c>
      <c r="E442" s="11" t="s">
        <v>24</v>
      </c>
      <c r="F442" s="11" t="s">
        <v>21</v>
      </c>
      <c r="G442" s="11">
        <v>81</v>
      </c>
      <c r="H442" s="11">
        <v>3.7</v>
      </c>
      <c r="I442" s="11">
        <v>46</v>
      </c>
      <c r="J442" s="11">
        <v>80</v>
      </c>
      <c r="K442" s="11">
        <v>64</v>
      </c>
      <c r="L442" s="11">
        <v>69</v>
      </c>
      <c r="M442" s="11">
        <v>54</v>
      </c>
      <c r="N442" s="12">
        <f t="shared" si="24"/>
        <v>313</v>
      </c>
      <c r="O442" s="13">
        <f t="shared" si="25"/>
        <v>62.6</v>
      </c>
      <c r="P442" s="12" t="str">
        <f t="shared" si="26"/>
        <v>Improvement</v>
      </c>
      <c r="Q442" s="12" t="str">
        <f t="shared" si="27"/>
        <v>Good</v>
      </c>
    </row>
    <row r="443" spans="1:17">
      <c r="A443" s="11" t="s">
        <v>674</v>
      </c>
      <c r="B443" s="11" t="s">
        <v>383</v>
      </c>
      <c r="C443" s="11" t="s">
        <v>19</v>
      </c>
      <c r="D443" s="11">
        <v>21</v>
      </c>
      <c r="E443" s="11" t="s">
        <v>24</v>
      </c>
      <c r="F443" s="11" t="s">
        <v>52</v>
      </c>
      <c r="G443" s="11">
        <v>76</v>
      </c>
      <c r="H443" s="11">
        <v>4.9</v>
      </c>
      <c r="I443" s="11">
        <v>59</v>
      </c>
      <c r="J443" s="11">
        <v>61</v>
      </c>
      <c r="K443" s="11">
        <v>73</v>
      </c>
      <c r="L443" s="11">
        <v>48</v>
      </c>
      <c r="M443" s="11">
        <v>52</v>
      </c>
      <c r="N443" s="12">
        <f t="shared" si="24"/>
        <v>293</v>
      </c>
      <c r="O443" s="13">
        <f t="shared" si="25"/>
        <v>58.6</v>
      </c>
      <c r="P443" s="12" t="str">
        <f t="shared" si="26"/>
        <v>Improvement</v>
      </c>
      <c r="Q443" s="12" t="str">
        <f t="shared" si="27"/>
        <v>Bad</v>
      </c>
    </row>
    <row r="444" spans="1:17">
      <c r="A444" s="11" t="s">
        <v>675</v>
      </c>
      <c r="B444" s="11" t="s">
        <v>287</v>
      </c>
      <c r="C444" s="11" t="s">
        <v>30</v>
      </c>
      <c r="D444" s="11">
        <v>21</v>
      </c>
      <c r="E444" s="11" t="s">
        <v>27</v>
      </c>
      <c r="F444" s="11" t="s">
        <v>31</v>
      </c>
      <c r="G444" s="11">
        <v>67</v>
      </c>
      <c r="H444" s="11">
        <v>2.7</v>
      </c>
      <c r="I444" s="11">
        <v>34</v>
      </c>
      <c r="J444" s="11">
        <v>52</v>
      </c>
      <c r="K444" s="11">
        <v>46</v>
      </c>
      <c r="L444" s="11">
        <v>44</v>
      </c>
      <c r="M444" s="11">
        <v>34</v>
      </c>
      <c r="N444" s="12">
        <f t="shared" si="24"/>
        <v>210</v>
      </c>
      <c r="O444" s="13">
        <f t="shared" si="25"/>
        <v>42</v>
      </c>
      <c r="P444" s="12" t="str">
        <f t="shared" si="26"/>
        <v>Improvement</v>
      </c>
      <c r="Q444" s="12" t="str">
        <f t="shared" si="27"/>
        <v>Bad</v>
      </c>
    </row>
    <row r="445" spans="1:17">
      <c r="A445" s="11" t="s">
        <v>676</v>
      </c>
      <c r="B445" s="11" t="s">
        <v>323</v>
      </c>
      <c r="C445" s="11" t="s">
        <v>30</v>
      </c>
      <c r="D445" s="11">
        <v>19</v>
      </c>
      <c r="E445" s="11" t="s">
        <v>34</v>
      </c>
      <c r="F445" s="11" t="s">
        <v>39</v>
      </c>
      <c r="G445" s="11">
        <v>89</v>
      </c>
      <c r="H445" s="11">
        <v>5.2</v>
      </c>
      <c r="I445" s="11">
        <v>70</v>
      </c>
      <c r="J445" s="11">
        <v>76</v>
      </c>
      <c r="K445" s="11">
        <v>73</v>
      </c>
      <c r="L445" s="11">
        <v>74</v>
      </c>
      <c r="M445" s="11">
        <v>92</v>
      </c>
      <c r="N445" s="12">
        <f t="shared" si="24"/>
        <v>385</v>
      </c>
      <c r="O445" s="13">
        <f t="shared" si="25"/>
        <v>77</v>
      </c>
      <c r="P445" s="12" t="str">
        <f t="shared" si="26"/>
        <v>Improvement</v>
      </c>
      <c r="Q445" s="12" t="str">
        <f t="shared" si="27"/>
        <v>Good</v>
      </c>
    </row>
    <row r="446" spans="1:17">
      <c r="A446" s="11" t="s">
        <v>677</v>
      </c>
      <c r="B446" s="11" t="s">
        <v>148</v>
      </c>
      <c r="C446" s="11" t="s">
        <v>30</v>
      </c>
      <c r="D446" s="11">
        <v>18</v>
      </c>
      <c r="E446" s="11" t="s">
        <v>20</v>
      </c>
      <c r="F446" s="11" t="s">
        <v>44</v>
      </c>
      <c r="G446" s="11">
        <v>68</v>
      </c>
      <c r="H446" s="11">
        <v>2.8</v>
      </c>
      <c r="I446" s="11">
        <v>52</v>
      </c>
      <c r="J446" s="11">
        <v>41</v>
      </c>
      <c r="K446" s="11">
        <v>58</v>
      </c>
      <c r="L446" s="11">
        <v>59</v>
      </c>
      <c r="M446" s="11">
        <v>58</v>
      </c>
      <c r="N446" s="12">
        <f t="shared" si="24"/>
        <v>268</v>
      </c>
      <c r="O446" s="13">
        <f t="shared" si="25"/>
        <v>53.6</v>
      </c>
      <c r="P446" s="12" t="str">
        <f t="shared" si="26"/>
        <v>Improvement</v>
      </c>
      <c r="Q446" s="12" t="str">
        <f t="shared" si="27"/>
        <v>Bad</v>
      </c>
    </row>
    <row r="447" spans="1:17">
      <c r="A447" s="11" t="s">
        <v>678</v>
      </c>
      <c r="B447" s="11" t="s">
        <v>136</v>
      </c>
      <c r="C447" s="11" t="s">
        <v>19</v>
      </c>
      <c r="D447" s="11">
        <v>20</v>
      </c>
      <c r="E447" s="11" t="s">
        <v>24</v>
      </c>
      <c r="F447" s="11" t="s">
        <v>31</v>
      </c>
      <c r="G447" s="11">
        <v>79</v>
      </c>
      <c r="H447" s="11">
        <v>7</v>
      </c>
      <c r="I447" s="11">
        <v>68</v>
      </c>
      <c r="J447" s="11">
        <v>78</v>
      </c>
      <c r="K447" s="11">
        <v>66</v>
      </c>
      <c r="L447" s="11">
        <v>67</v>
      </c>
      <c r="M447" s="11">
        <v>69</v>
      </c>
      <c r="N447" s="12">
        <f t="shared" si="24"/>
        <v>348</v>
      </c>
      <c r="O447" s="13">
        <f t="shared" si="25"/>
        <v>69.6</v>
      </c>
      <c r="P447" s="12" t="str">
        <f t="shared" si="26"/>
        <v>Improvement</v>
      </c>
      <c r="Q447" s="12" t="str">
        <f t="shared" si="27"/>
        <v>Good</v>
      </c>
    </row>
    <row r="448" spans="1:17">
      <c r="A448" s="11" t="s">
        <v>679</v>
      </c>
      <c r="B448" s="11" t="s">
        <v>680</v>
      </c>
      <c r="C448" s="11" t="s">
        <v>30</v>
      </c>
      <c r="D448" s="11">
        <v>22</v>
      </c>
      <c r="E448" s="11" t="s">
        <v>20</v>
      </c>
      <c r="F448" s="11" t="s">
        <v>105</v>
      </c>
      <c r="G448" s="11">
        <v>86</v>
      </c>
      <c r="H448" s="11">
        <v>2.2</v>
      </c>
      <c r="I448" s="11">
        <v>57</v>
      </c>
      <c r="J448" s="11">
        <v>50</v>
      </c>
      <c r="K448" s="11">
        <v>53</v>
      </c>
      <c r="L448" s="11">
        <v>58</v>
      </c>
      <c r="M448" s="11">
        <v>52</v>
      </c>
      <c r="N448" s="12">
        <f t="shared" si="24"/>
        <v>270</v>
      </c>
      <c r="O448" s="13">
        <f t="shared" si="25"/>
        <v>54</v>
      </c>
      <c r="P448" s="12" t="str">
        <f t="shared" si="26"/>
        <v>Improvement</v>
      </c>
      <c r="Q448" s="12" t="str">
        <f t="shared" si="27"/>
        <v>Bad</v>
      </c>
    </row>
    <row r="449" spans="1:17">
      <c r="A449" s="11" t="s">
        <v>681</v>
      </c>
      <c r="B449" s="11" t="s">
        <v>81</v>
      </c>
      <c r="C449" s="11" t="s">
        <v>30</v>
      </c>
      <c r="D449" s="11">
        <v>22</v>
      </c>
      <c r="E449" s="11" t="s">
        <v>48</v>
      </c>
      <c r="F449" s="11" t="s">
        <v>44</v>
      </c>
      <c r="G449" s="11">
        <v>92</v>
      </c>
      <c r="H449" s="11">
        <v>4.6</v>
      </c>
      <c r="I449" s="11">
        <v>51</v>
      </c>
      <c r="J449" s="11">
        <v>53</v>
      </c>
      <c r="K449" s="11">
        <v>53</v>
      </c>
      <c r="L449" s="11">
        <v>59</v>
      </c>
      <c r="M449" s="11">
        <v>64</v>
      </c>
      <c r="N449" s="12">
        <f t="shared" si="24"/>
        <v>280</v>
      </c>
      <c r="O449" s="13">
        <f t="shared" si="25"/>
        <v>56</v>
      </c>
      <c r="P449" s="12" t="str">
        <f t="shared" si="26"/>
        <v>Improvement</v>
      </c>
      <c r="Q449" s="12" t="str">
        <f t="shared" si="27"/>
        <v>Bad</v>
      </c>
    </row>
    <row r="450" spans="1:17">
      <c r="A450" s="11" t="s">
        <v>682</v>
      </c>
      <c r="B450" s="11" t="s">
        <v>683</v>
      </c>
      <c r="C450" s="11" t="s">
        <v>19</v>
      </c>
      <c r="D450" s="11">
        <v>20</v>
      </c>
      <c r="E450" s="11" t="s">
        <v>20</v>
      </c>
      <c r="F450" s="11" t="s">
        <v>52</v>
      </c>
      <c r="G450" s="11">
        <v>63</v>
      </c>
      <c r="H450" s="11">
        <v>3.9</v>
      </c>
      <c r="I450" s="11">
        <v>62</v>
      </c>
      <c r="J450" s="11">
        <v>77</v>
      </c>
      <c r="K450" s="11">
        <v>71</v>
      </c>
      <c r="L450" s="11">
        <v>67</v>
      </c>
      <c r="M450" s="11">
        <v>53</v>
      </c>
      <c r="N450" s="12">
        <f t="shared" ref="N450:N513" si="28">SUM(I450:M450)</f>
        <v>330</v>
      </c>
      <c r="O450" s="13">
        <f t="shared" ref="O450:O513" si="29">AVERAGE(N450/5)</f>
        <v>66</v>
      </c>
      <c r="P450" s="12" t="str">
        <f t="shared" ref="P450:P513" si="30">IF(N450&gt;=400,"TopPerformer","Improvement")</f>
        <v>Improvement</v>
      </c>
      <c r="Q450" s="12" t="str">
        <f t="shared" ref="Q450:Q513" si="31">IF(N450&gt;=400,"Excellent",IF(N450&gt;=300,"Good",IF(N450&gt;=200,"Bad","Very Bad")))</f>
        <v>Good</v>
      </c>
    </row>
    <row r="451" spans="1:17">
      <c r="A451" s="11" t="s">
        <v>684</v>
      </c>
      <c r="B451" s="11" t="s">
        <v>295</v>
      </c>
      <c r="C451" s="11" t="s">
        <v>30</v>
      </c>
      <c r="D451" s="11">
        <v>22</v>
      </c>
      <c r="E451" s="11" t="s">
        <v>38</v>
      </c>
      <c r="F451" s="11" t="s">
        <v>21</v>
      </c>
      <c r="G451" s="11">
        <v>86</v>
      </c>
      <c r="H451" s="11">
        <v>4.3</v>
      </c>
      <c r="I451" s="11">
        <v>69</v>
      </c>
      <c r="J451" s="11">
        <v>60</v>
      </c>
      <c r="K451" s="11">
        <v>46</v>
      </c>
      <c r="L451" s="11">
        <v>59</v>
      </c>
      <c r="M451" s="11">
        <v>62</v>
      </c>
      <c r="N451" s="12">
        <f t="shared" si="28"/>
        <v>296</v>
      </c>
      <c r="O451" s="13">
        <f t="shared" si="29"/>
        <v>59.2</v>
      </c>
      <c r="P451" s="12" t="str">
        <f t="shared" si="30"/>
        <v>Improvement</v>
      </c>
      <c r="Q451" s="12" t="str">
        <f t="shared" si="31"/>
        <v>Bad</v>
      </c>
    </row>
    <row r="452" spans="1:17">
      <c r="A452" s="11" t="s">
        <v>685</v>
      </c>
      <c r="B452" s="11" t="s">
        <v>323</v>
      </c>
      <c r="C452" s="11" t="s">
        <v>19</v>
      </c>
      <c r="D452" s="11">
        <v>18</v>
      </c>
      <c r="E452" s="11" t="s">
        <v>38</v>
      </c>
      <c r="F452" s="11" t="s">
        <v>105</v>
      </c>
      <c r="G452" s="11">
        <v>83</v>
      </c>
      <c r="H452" s="11">
        <v>1.8</v>
      </c>
      <c r="I452" s="11">
        <v>56</v>
      </c>
      <c r="J452" s="11">
        <v>56</v>
      </c>
      <c r="K452" s="11">
        <v>49</v>
      </c>
      <c r="L452" s="11">
        <v>59</v>
      </c>
      <c r="M452" s="11">
        <v>55</v>
      </c>
      <c r="N452" s="12">
        <f t="shared" si="28"/>
        <v>275</v>
      </c>
      <c r="O452" s="13">
        <f t="shared" si="29"/>
        <v>55</v>
      </c>
      <c r="P452" s="12" t="str">
        <f t="shared" si="30"/>
        <v>Improvement</v>
      </c>
      <c r="Q452" s="12" t="str">
        <f t="shared" si="31"/>
        <v>Bad</v>
      </c>
    </row>
    <row r="453" spans="1:17">
      <c r="A453" s="11" t="s">
        <v>686</v>
      </c>
      <c r="B453" s="11" t="s">
        <v>592</v>
      </c>
      <c r="C453" s="11" t="s">
        <v>30</v>
      </c>
      <c r="D453" s="11">
        <v>21</v>
      </c>
      <c r="E453" s="11" t="s">
        <v>24</v>
      </c>
      <c r="F453" s="11" t="s">
        <v>39</v>
      </c>
      <c r="G453" s="11">
        <v>86</v>
      </c>
      <c r="H453" s="11">
        <v>3.2</v>
      </c>
      <c r="I453" s="11">
        <v>60</v>
      </c>
      <c r="J453" s="11">
        <v>45</v>
      </c>
      <c r="K453" s="11">
        <v>64</v>
      </c>
      <c r="L453" s="11">
        <v>50</v>
      </c>
      <c r="M453" s="11">
        <v>61</v>
      </c>
      <c r="N453" s="12">
        <f t="shared" si="28"/>
        <v>280</v>
      </c>
      <c r="O453" s="13">
        <f t="shared" si="29"/>
        <v>56</v>
      </c>
      <c r="P453" s="12" t="str">
        <f t="shared" si="30"/>
        <v>Improvement</v>
      </c>
      <c r="Q453" s="12" t="str">
        <f t="shared" si="31"/>
        <v>Bad</v>
      </c>
    </row>
    <row r="454" spans="1:17">
      <c r="A454" s="11" t="s">
        <v>687</v>
      </c>
      <c r="B454" s="11" t="s">
        <v>236</v>
      </c>
      <c r="C454" s="11" t="s">
        <v>30</v>
      </c>
      <c r="D454" s="11">
        <v>19</v>
      </c>
      <c r="E454" s="11" t="s">
        <v>38</v>
      </c>
      <c r="F454" s="11" t="s">
        <v>52</v>
      </c>
      <c r="G454" s="11">
        <v>80</v>
      </c>
      <c r="H454" s="11">
        <v>6.6</v>
      </c>
      <c r="I454" s="11">
        <v>88</v>
      </c>
      <c r="J454" s="11">
        <v>84</v>
      </c>
      <c r="K454" s="11">
        <v>91</v>
      </c>
      <c r="L454" s="11">
        <v>94</v>
      </c>
      <c r="M454" s="11">
        <v>78</v>
      </c>
      <c r="N454" s="12">
        <f t="shared" si="28"/>
        <v>435</v>
      </c>
      <c r="O454" s="13">
        <f t="shared" si="29"/>
        <v>87</v>
      </c>
      <c r="P454" s="12" t="str">
        <f t="shared" si="30"/>
        <v>TopPerformer</v>
      </c>
      <c r="Q454" s="12" t="str">
        <f t="shared" si="31"/>
        <v>Excellent</v>
      </c>
    </row>
    <row r="455" spans="1:17">
      <c r="A455" s="11" t="s">
        <v>688</v>
      </c>
      <c r="B455" s="11" t="s">
        <v>377</v>
      </c>
      <c r="C455" s="11" t="s">
        <v>30</v>
      </c>
      <c r="D455" s="11">
        <v>21</v>
      </c>
      <c r="E455" s="11" t="s">
        <v>27</v>
      </c>
      <c r="F455" s="11" t="s">
        <v>31</v>
      </c>
      <c r="G455" s="11">
        <v>100</v>
      </c>
      <c r="H455" s="11">
        <v>3.9</v>
      </c>
      <c r="I455" s="11">
        <v>59</v>
      </c>
      <c r="J455" s="11">
        <v>46</v>
      </c>
      <c r="K455" s="11">
        <v>48</v>
      </c>
      <c r="L455" s="11">
        <v>59</v>
      </c>
      <c r="M455" s="11">
        <v>56</v>
      </c>
      <c r="N455" s="12">
        <f t="shared" si="28"/>
        <v>268</v>
      </c>
      <c r="O455" s="13">
        <f t="shared" si="29"/>
        <v>53.6</v>
      </c>
      <c r="P455" s="12" t="str">
        <f t="shared" si="30"/>
        <v>Improvement</v>
      </c>
      <c r="Q455" s="12" t="str">
        <f t="shared" si="31"/>
        <v>Bad</v>
      </c>
    </row>
    <row r="456" spans="1:17">
      <c r="A456" s="11" t="s">
        <v>689</v>
      </c>
      <c r="B456" s="11" t="s">
        <v>116</v>
      </c>
      <c r="C456" s="11" t="s">
        <v>30</v>
      </c>
      <c r="D456" s="11">
        <v>20</v>
      </c>
      <c r="E456" s="11" t="s">
        <v>20</v>
      </c>
      <c r="F456" s="11" t="s">
        <v>21</v>
      </c>
      <c r="G456" s="11">
        <v>78</v>
      </c>
      <c r="H456" s="11">
        <v>2.1</v>
      </c>
      <c r="I456" s="11">
        <v>57</v>
      </c>
      <c r="J456" s="11">
        <v>53</v>
      </c>
      <c r="K456" s="11">
        <v>43</v>
      </c>
      <c r="L456" s="11">
        <v>62</v>
      </c>
      <c r="M456" s="11">
        <v>32</v>
      </c>
      <c r="N456" s="12">
        <f t="shared" si="28"/>
        <v>247</v>
      </c>
      <c r="O456" s="13">
        <f t="shared" si="29"/>
        <v>49.4</v>
      </c>
      <c r="P456" s="12" t="str">
        <f t="shared" si="30"/>
        <v>Improvement</v>
      </c>
      <c r="Q456" s="12" t="str">
        <f t="shared" si="31"/>
        <v>Bad</v>
      </c>
    </row>
    <row r="457" spans="1:17">
      <c r="A457" s="11" t="s">
        <v>690</v>
      </c>
      <c r="B457" s="11" t="s">
        <v>37</v>
      </c>
      <c r="C457" s="11" t="s">
        <v>19</v>
      </c>
      <c r="D457" s="11">
        <v>22</v>
      </c>
      <c r="E457" s="11" t="s">
        <v>48</v>
      </c>
      <c r="F457" s="11" t="s">
        <v>35</v>
      </c>
      <c r="G457" s="11">
        <v>87</v>
      </c>
      <c r="H457" s="11">
        <v>5.5</v>
      </c>
      <c r="I457" s="11">
        <v>72</v>
      </c>
      <c r="J457" s="11">
        <v>69</v>
      </c>
      <c r="K457" s="11">
        <v>53</v>
      </c>
      <c r="L457" s="11">
        <v>82</v>
      </c>
      <c r="M457" s="11">
        <v>56</v>
      </c>
      <c r="N457" s="12">
        <f t="shared" si="28"/>
        <v>332</v>
      </c>
      <c r="O457" s="13">
        <f t="shared" si="29"/>
        <v>66.4</v>
      </c>
      <c r="P457" s="12" t="str">
        <f t="shared" si="30"/>
        <v>Improvement</v>
      </c>
      <c r="Q457" s="12" t="str">
        <f t="shared" si="31"/>
        <v>Good</v>
      </c>
    </row>
    <row r="458" spans="1:17">
      <c r="A458" s="11" t="s">
        <v>691</v>
      </c>
      <c r="B458" s="11" t="s">
        <v>258</v>
      </c>
      <c r="C458" s="11" t="s">
        <v>30</v>
      </c>
      <c r="D458" s="11">
        <v>20</v>
      </c>
      <c r="E458" s="11" t="s">
        <v>34</v>
      </c>
      <c r="F458" s="11" t="s">
        <v>64</v>
      </c>
      <c r="G458" s="11">
        <v>77</v>
      </c>
      <c r="H458" s="11">
        <v>5</v>
      </c>
      <c r="I458" s="11">
        <v>56</v>
      </c>
      <c r="J458" s="11">
        <v>53</v>
      </c>
      <c r="K458" s="11">
        <v>52</v>
      </c>
      <c r="L458" s="11">
        <v>60</v>
      </c>
      <c r="M458" s="11">
        <v>66</v>
      </c>
      <c r="N458" s="12">
        <f t="shared" si="28"/>
        <v>287</v>
      </c>
      <c r="O458" s="13">
        <f t="shared" si="29"/>
        <v>57.4</v>
      </c>
      <c r="P458" s="12" t="str">
        <f t="shared" si="30"/>
        <v>Improvement</v>
      </c>
      <c r="Q458" s="12" t="str">
        <f t="shared" si="31"/>
        <v>Bad</v>
      </c>
    </row>
    <row r="459" spans="1:17">
      <c r="A459" s="11" t="s">
        <v>692</v>
      </c>
      <c r="B459" s="11" t="s">
        <v>110</v>
      </c>
      <c r="C459" s="11" t="s">
        <v>30</v>
      </c>
      <c r="D459" s="11">
        <v>20</v>
      </c>
      <c r="E459" s="11" t="s">
        <v>38</v>
      </c>
      <c r="F459" s="11" t="s">
        <v>64</v>
      </c>
      <c r="G459" s="11">
        <v>73</v>
      </c>
      <c r="H459" s="11">
        <v>3.4</v>
      </c>
      <c r="I459" s="11">
        <v>53</v>
      </c>
      <c r="J459" s="11">
        <v>62</v>
      </c>
      <c r="K459" s="11">
        <v>60</v>
      </c>
      <c r="L459" s="11">
        <v>46</v>
      </c>
      <c r="M459" s="11">
        <v>45</v>
      </c>
      <c r="N459" s="12">
        <f t="shared" si="28"/>
        <v>266</v>
      </c>
      <c r="O459" s="13">
        <f t="shared" si="29"/>
        <v>53.2</v>
      </c>
      <c r="P459" s="12" t="str">
        <f t="shared" si="30"/>
        <v>Improvement</v>
      </c>
      <c r="Q459" s="12" t="str">
        <f t="shared" si="31"/>
        <v>Bad</v>
      </c>
    </row>
    <row r="460" spans="1:17">
      <c r="A460" s="11" t="s">
        <v>693</v>
      </c>
      <c r="B460" s="11" t="s">
        <v>203</v>
      </c>
      <c r="C460" s="11" t="s">
        <v>30</v>
      </c>
      <c r="D460" s="11">
        <v>18</v>
      </c>
      <c r="E460" s="11" t="s">
        <v>27</v>
      </c>
      <c r="F460" s="11" t="s">
        <v>105</v>
      </c>
      <c r="G460" s="11">
        <v>89</v>
      </c>
      <c r="H460" s="11">
        <v>1.9</v>
      </c>
      <c r="I460" s="11">
        <v>62</v>
      </c>
      <c r="J460" s="11">
        <v>51</v>
      </c>
      <c r="K460" s="11">
        <v>45</v>
      </c>
      <c r="L460" s="11">
        <v>41</v>
      </c>
      <c r="M460" s="11">
        <v>44</v>
      </c>
      <c r="N460" s="12">
        <f t="shared" si="28"/>
        <v>243</v>
      </c>
      <c r="O460" s="13">
        <f t="shared" si="29"/>
        <v>48.6</v>
      </c>
      <c r="P460" s="12" t="str">
        <f t="shared" si="30"/>
        <v>Improvement</v>
      </c>
      <c r="Q460" s="12" t="str">
        <f t="shared" si="31"/>
        <v>Bad</v>
      </c>
    </row>
    <row r="461" spans="1:17">
      <c r="A461" s="11" t="s">
        <v>694</v>
      </c>
      <c r="B461" s="11" t="s">
        <v>695</v>
      </c>
      <c r="C461" s="11" t="s">
        <v>30</v>
      </c>
      <c r="D461" s="11">
        <v>20</v>
      </c>
      <c r="E461" s="11" t="s">
        <v>24</v>
      </c>
      <c r="F461" s="11" t="s">
        <v>105</v>
      </c>
      <c r="G461" s="11">
        <v>91</v>
      </c>
      <c r="H461" s="11">
        <v>3.2</v>
      </c>
      <c r="I461" s="11">
        <v>53</v>
      </c>
      <c r="J461" s="11">
        <v>36</v>
      </c>
      <c r="K461" s="11">
        <v>56</v>
      </c>
      <c r="L461" s="11">
        <v>55</v>
      </c>
      <c r="M461" s="11">
        <v>63</v>
      </c>
      <c r="N461" s="12">
        <f t="shared" si="28"/>
        <v>263</v>
      </c>
      <c r="O461" s="13">
        <f t="shared" si="29"/>
        <v>52.6</v>
      </c>
      <c r="P461" s="12" t="str">
        <f t="shared" si="30"/>
        <v>Improvement</v>
      </c>
      <c r="Q461" s="12" t="str">
        <f t="shared" si="31"/>
        <v>Bad</v>
      </c>
    </row>
    <row r="462" spans="1:17">
      <c r="A462" s="11" t="s">
        <v>696</v>
      </c>
      <c r="B462" s="11" t="s">
        <v>697</v>
      </c>
      <c r="C462" s="11" t="s">
        <v>19</v>
      </c>
      <c r="D462" s="11">
        <v>21</v>
      </c>
      <c r="E462" s="11" t="s">
        <v>20</v>
      </c>
      <c r="F462" s="11" t="s">
        <v>31</v>
      </c>
      <c r="G462" s="11">
        <v>93</v>
      </c>
      <c r="H462" s="11">
        <v>3.7</v>
      </c>
      <c r="I462" s="11">
        <v>62</v>
      </c>
      <c r="J462" s="11">
        <v>79</v>
      </c>
      <c r="K462" s="11">
        <v>67</v>
      </c>
      <c r="L462" s="11">
        <v>60</v>
      </c>
      <c r="M462" s="11">
        <v>64</v>
      </c>
      <c r="N462" s="12">
        <f t="shared" si="28"/>
        <v>332</v>
      </c>
      <c r="O462" s="13">
        <f t="shared" si="29"/>
        <v>66.4</v>
      </c>
      <c r="P462" s="12" t="str">
        <f t="shared" si="30"/>
        <v>Improvement</v>
      </c>
      <c r="Q462" s="12" t="str">
        <f t="shared" si="31"/>
        <v>Good</v>
      </c>
    </row>
    <row r="463" spans="1:17">
      <c r="A463" s="11" t="s">
        <v>698</v>
      </c>
      <c r="B463" s="11" t="s">
        <v>212</v>
      </c>
      <c r="C463" s="11" t="s">
        <v>30</v>
      </c>
      <c r="D463" s="11">
        <v>21</v>
      </c>
      <c r="E463" s="11" t="s">
        <v>20</v>
      </c>
      <c r="F463" s="11" t="s">
        <v>35</v>
      </c>
      <c r="G463" s="11">
        <v>65</v>
      </c>
      <c r="H463" s="11">
        <v>1</v>
      </c>
      <c r="I463" s="11">
        <v>66</v>
      </c>
      <c r="J463" s="11">
        <v>51</v>
      </c>
      <c r="K463" s="11">
        <v>59</v>
      </c>
      <c r="L463" s="11">
        <v>67</v>
      </c>
      <c r="M463" s="11">
        <v>62</v>
      </c>
      <c r="N463" s="12">
        <f t="shared" si="28"/>
        <v>305</v>
      </c>
      <c r="O463" s="13">
        <f t="shared" si="29"/>
        <v>61</v>
      </c>
      <c r="P463" s="12" t="str">
        <f t="shared" si="30"/>
        <v>Improvement</v>
      </c>
      <c r="Q463" s="12" t="str">
        <f t="shared" si="31"/>
        <v>Good</v>
      </c>
    </row>
    <row r="464" spans="1:17">
      <c r="A464" s="11" t="s">
        <v>699</v>
      </c>
      <c r="B464" s="11" t="s">
        <v>680</v>
      </c>
      <c r="C464" s="11" t="s">
        <v>30</v>
      </c>
      <c r="D464" s="11">
        <v>19</v>
      </c>
      <c r="E464" s="11" t="s">
        <v>38</v>
      </c>
      <c r="F464" s="11" t="s">
        <v>31</v>
      </c>
      <c r="G464" s="11">
        <v>82</v>
      </c>
      <c r="H464" s="11">
        <v>3.8</v>
      </c>
      <c r="I464" s="11">
        <v>59</v>
      </c>
      <c r="J464" s="11">
        <v>63</v>
      </c>
      <c r="K464" s="11">
        <v>63</v>
      </c>
      <c r="L464" s="11">
        <v>54</v>
      </c>
      <c r="M464" s="11">
        <v>69</v>
      </c>
      <c r="N464" s="12">
        <f t="shared" si="28"/>
        <v>308</v>
      </c>
      <c r="O464" s="13">
        <f t="shared" si="29"/>
        <v>61.6</v>
      </c>
      <c r="P464" s="12" t="str">
        <f t="shared" si="30"/>
        <v>Improvement</v>
      </c>
      <c r="Q464" s="12" t="str">
        <f t="shared" si="31"/>
        <v>Good</v>
      </c>
    </row>
    <row r="465" spans="1:17">
      <c r="A465" s="11" t="s">
        <v>700</v>
      </c>
      <c r="B465" s="11" t="s">
        <v>422</v>
      </c>
      <c r="C465" s="11" t="s">
        <v>19</v>
      </c>
      <c r="D465" s="11">
        <v>21</v>
      </c>
      <c r="E465" s="11" t="s">
        <v>38</v>
      </c>
      <c r="F465" s="11" t="s">
        <v>64</v>
      </c>
      <c r="G465" s="11">
        <v>85</v>
      </c>
      <c r="H465" s="11">
        <v>1</v>
      </c>
      <c r="I465" s="11">
        <v>55</v>
      </c>
      <c r="J465" s="11">
        <v>70</v>
      </c>
      <c r="K465" s="11">
        <v>56</v>
      </c>
      <c r="L465" s="11">
        <v>60</v>
      </c>
      <c r="M465" s="11">
        <v>75</v>
      </c>
      <c r="N465" s="12">
        <f t="shared" si="28"/>
        <v>316</v>
      </c>
      <c r="O465" s="13">
        <f t="shared" si="29"/>
        <v>63.2</v>
      </c>
      <c r="P465" s="12" t="str">
        <f t="shared" si="30"/>
        <v>Improvement</v>
      </c>
      <c r="Q465" s="12" t="str">
        <f t="shared" si="31"/>
        <v>Good</v>
      </c>
    </row>
    <row r="466" spans="1:17">
      <c r="A466" s="11" t="s">
        <v>701</v>
      </c>
      <c r="B466" s="11" t="s">
        <v>702</v>
      </c>
      <c r="C466" s="11" t="s">
        <v>30</v>
      </c>
      <c r="D466" s="11">
        <v>21</v>
      </c>
      <c r="E466" s="11" t="s">
        <v>20</v>
      </c>
      <c r="F466" s="11" t="s">
        <v>21</v>
      </c>
      <c r="G466" s="11">
        <v>85</v>
      </c>
      <c r="H466" s="11">
        <v>3.9</v>
      </c>
      <c r="I466" s="11">
        <v>66</v>
      </c>
      <c r="J466" s="11">
        <v>63</v>
      </c>
      <c r="K466" s="11">
        <v>66</v>
      </c>
      <c r="L466" s="11">
        <v>72</v>
      </c>
      <c r="M466" s="11">
        <v>69</v>
      </c>
      <c r="N466" s="12">
        <f t="shared" si="28"/>
        <v>336</v>
      </c>
      <c r="O466" s="13">
        <f t="shared" si="29"/>
        <v>67.2</v>
      </c>
      <c r="P466" s="12" t="str">
        <f t="shared" si="30"/>
        <v>Improvement</v>
      </c>
      <c r="Q466" s="12" t="str">
        <f t="shared" si="31"/>
        <v>Good</v>
      </c>
    </row>
    <row r="467" spans="1:17">
      <c r="A467" s="11" t="s">
        <v>703</v>
      </c>
      <c r="B467" s="11" t="s">
        <v>116</v>
      </c>
      <c r="C467" s="11" t="s">
        <v>19</v>
      </c>
      <c r="D467" s="11">
        <v>21</v>
      </c>
      <c r="E467" s="11" t="s">
        <v>38</v>
      </c>
      <c r="F467" s="11" t="s">
        <v>39</v>
      </c>
      <c r="G467" s="11">
        <v>75</v>
      </c>
      <c r="H467" s="11">
        <v>1.6</v>
      </c>
      <c r="I467" s="11">
        <v>71</v>
      </c>
      <c r="J467" s="11">
        <v>72</v>
      </c>
      <c r="K467" s="11">
        <v>57</v>
      </c>
      <c r="L467" s="11">
        <v>68</v>
      </c>
      <c r="M467" s="11">
        <v>72</v>
      </c>
      <c r="N467" s="12">
        <f t="shared" si="28"/>
        <v>340</v>
      </c>
      <c r="O467" s="13">
        <f t="shared" si="29"/>
        <v>68</v>
      </c>
      <c r="P467" s="12" t="str">
        <f t="shared" si="30"/>
        <v>Improvement</v>
      </c>
      <c r="Q467" s="12" t="str">
        <f t="shared" si="31"/>
        <v>Good</v>
      </c>
    </row>
    <row r="468" spans="1:17">
      <c r="A468" s="11" t="s">
        <v>704</v>
      </c>
      <c r="B468" s="11" t="s">
        <v>489</v>
      </c>
      <c r="C468" s="11" t="s">
        <v>19</v>
      </c>
      <c r="D468" s="11">
        <v>20</v>
      </c>
      <c r="E468" s="11" t="s">
        <v>38</v>
      </c>
      <c r="F468" s="11" t="s">
        <v>39</v>
      </c>
      <c r="G468" s="11">
        <v>73</v>
      </c>
      <c r="H468" s="11">
        <v>2.3</v>
      </c>
      <c r="I468" s="11">
        <v>63</v>
      </c>
      <c r="J468" s="11">
        <v>58</v>
      </c>
      <c r="K468" s="11">
        <v>49</v>
      </c>
      <c r="L468" s="11">
        <v>50</v>
      </c>
      <c r="M468" s="11">
        <v>44</v>
      </c>
      <c r="N468" s="12">
        <f t="shared" si="28"/>
        <v>264</v>
      </c>
      <c r="O468" s="13">
        <f t="shared" si="29"/>
        <v>52.8</v>
      </c>
      <c r="P468" s="12" t="str">
        <f t="shared" si="30"/>
        <v>Improvement</v>
      </c>
      <c r="Q468" s="12" t="str">
        <f t="shared" si="31"/>
        <v>Bad</v>
      </c>
    </row>
    <row r="469" spans="1:17">
      <c r="A469" s="11" t="s">
        <v>705</v>
      </c>
      <c r="B469" s="11" t="s">
        <v>287</v>
      </c>
      <c r="C469" s="11" t="s">
        <v>19</v>
      </c>
      <c r="D469" s="11">
        <v>18</v>
      </c>
      <c r="E469" s="11" t="s">
        <v>48</v>
      </c>
      <c r="F469" s="11" t="s">
        <v>52</v>
      </c>
      <c r="G469" s="11">
        <v>87</v>
      </c>
      <c r="H469" s="11">
        <v>3.5</v>
      </c>
      <c r="I469" s="11">
        <v>63</v>
      </c>
      <c r="J469" s="11">
        <v>69</v>
      </c>
      <c r="K469" s="11">
        <v>76</v>
      </c>
      <c r="L469" s="11">
        <v>67</v>
      </c>
      <c r="M469" s="11">
        <v>69</v>
      </c>
      <c r="N469" s="12">
        <f t="shared" si="28"/>
        <v>344</v>
      </c>
      <c r="O469" s="13">
        <f t="shared" si="29"/>
        <v>68.8</v>
      </c>
      <c r="P469" s="12" t="str">
        <f t="shared" si="30"/>
        <v>Improvement</v>
      </c>
      <c r="Q469" s="12" t="str">
        <f t="shared" si="31"/>
        <v>Good</v>
      </c>
    </row>
    <row r="470" spans="1:17">
      <c r="A470" s="11" t="s">
        <v>706</v>
      </c>
      <c r="B470" s="11" t="s">
        <v>212</v>
      </c>
      <c r="C470" s="11" t="s">
        <v>19</v>
      </c>
      <c r="D470" s="11">
        <v>18</v>
      </c>
      <c r="E470" s="11" t="s">
        <v>34</v>
      </c>
      <c r="F470" s="11" t="s">
        <v>105</v>
      </c>
      <c r="G470" s="11">
        <v>83</v>
      </c>
      <c r="H470" s="11">
        <v>1.7</v>
      </c>
      <c r="I470" s="11">
        <v>53</v>
      </c>
      <c r="J470" s="11">
        <v>50</v>
      </c>
      <c r="K470" s="11">
        <v>66</v>
      </c>
      <c r="L470" s="11">
        <v>58</v>
      </c>
      <c r="M470" s="11">
        <v>65</v>
      </c>
      <c r="N470" s="12">
        <f t="shared" si="28"/>
        <v>292</v>
      </c>
      <c r="O470" s="13">
        <f t="shared" si="29"/>
        <v>58.4</v>
      </c>
      <c r="P470" s="12" t="str">
        <f t="shared" si="30"/>
        <v>Improvement</v>
      </c>
      <c r="Q470" s="12" t="str">
        <f t="shared" si="31"/>
        <v>Bad</v>
      </c>
    </row>
    <row r="471" spans="1:17">
      <c r="A471" s="11" t="s">
        <v>707</v>
      </c>
      <c r="B471" s="11" t="s">
        <v>85</v>
      </c>
      <c r="C471" s="11" t="s">
        <v>30</v>
      </c>
      <c r="D471" s="11">
        <v>18</v>
      </c>
      <c r="E471" s="11" t="s">
        <v>34</v>
      </c>
      <c r="F471" s="11" t="s">
        <v>21</v>
      </c>
      <c r="G471" s="11">
        <v>82</v>
      </c>
      <c r="H471" s="11">
        <v>3.8</v>
      </c>
      <c r="I471" s="11">
        <v>50</v>
      </c>
      <c r="J471" s="11">
        <v>52</v>
      </c>
      <c r="K471" s="11">
        <v>58</v>
      </c>
      <c r="L471" s="11">
        <v>58</v>
      </c>
      <c r="M471" s="11">
        <v>50</v>
      </c>
      <c r="N471" s="12">
        <f t="shared" si="28"/>
        <v>268</v>
      </c>
      <c r="O471" s="13">
        <f t="shared" si="29"/>
        <v>53.6</v>
      </c>
      <c r="P471" s="12" t="str">
        <f t="shared" si="30"/>
        <v>Improvement</v>
      </c>
      <c r="Q471" s="12" t="str">
        <f t="shared" si="31"/>
        <v>Bad</v>
      </c>
    </row>
    <row r="472" spans="1:17">
      <c r="A472" s="11" t="s">
        <v>708</v>
      </c>
      <c r="B472" s="11" t="s">
        <v>680</v>
      </c>
      <c r="C472" s="11" t="s">
        <v>19</v>
      </c>
      <c r="D472" s="11">
        <v>22</v>
      </c>
      <c r="E472" s="11" t="s">
        <v>27</v>
      </c>
      <c r="F472" s="11" t="s">
        <v>105</v>
      </c>
      <c r="G472" s="11">
        <v>77</v>
      </c>
      <c r="H472" s="11">
        <v>5.4</v>
      </c>
      <c r="I472" s="11">
        <v>59</v>
      </c>
      <c r="J472" s="11">
        <v>70</v>
      </c>
      <c r="K472" s="11">
        <v>52</v>
      </c>
      <c r="L472" s="11">
        <v>58</v>
      </c>
      <c r="M472" s="11">
        <v>47</v>
      </c>
      <c r="N472" s="12">
        <f t="shared" si="28"/>
        <v>286</v>
      </c>
      <c r="O472" s="13">
        <f t="shared" si="29"/>
        <v>57.2</v>
      </c>
      <c r="P472" s="12" t="str">
        <f t="shared" si="30"/>
        <v>Improvement</v>
      </c>
      <c r="Q472" s="12" t="str">
        <f t="shared" si="31"/>
        <v>Bad</v>
      </c>
    </row>
    <row r="473" spans="1:17">
      <c r="A473" s="11" t="s">
        <v>709</v>
      </c>
      <c r="B473" s="11" t="s">
        <v>191</v>
      </c>
      <c r="C473" s="11" t="s">
        <v>30</v>
      </c>
      <c r="D473" s="11">
        <v>22</v>
      </c>
      <c r="E473" s="11" t="s">
        <v>20</v>
      </c>
      <c r="F473" s="11" t="s">
        <v>21</v>
      </c>
      <c r="G473" s="11">
        <v>94</v>
      </c>
      <c r="H473" s="11">
        <v>4.8</v>
      </c>
      <c r="I473" s="11">
        <v>60</v>
      </c>
      <c r="J473" s="11">
        <v>69</v>
      </c>
      <c r="K473" s="11">
        <v>60</v>
      </c>
      <c r="L473" s="11">
        <v>48</v>
      </c>
      <c r="M473" s="11">
        <v>64</v>
      </c>
      <c r="N473" s="12">
        <f t="shared" si="28"/>
        <v>301</v>
      </c>
      <c r="O473" s="13">
        <f t="shared" si="29"/>
        <v>60.2</v>
      </c>
      <c r="P473" s="12" t="str">
        <f t="shared" si="30"/>
        <v>Improvement</v>
      </c>
      <c r="Q473" s="12" t="str">
        <f t="shared" si="31"/>
        <v>Good</v>
      </c>
    </row>
    <row r="474" spans="1:17">
      <c r="A474" s="11" t="s">
        <v>710</v>
      </c>
      <c r="B474" s="11" t="s">
        <v>180</v>
      </c>
      <c r="C474" s="11" t="s">
        <v>30</v>
      </c>
      <c r="D474" s="11">
        <v>18</v>
      </c>
      <c r="E474" s="11" t="s">
        <v>38</v>
      </c>
      <c r="F474" s="11" t="s">
        <v>21</v>
      </c>
      <c r="G474" s="11">
        <v>73</v>
      </c>
      <c r="H474" s="11">
        <v>2.8</v>
      </c>
      <c r="I474" s="11">
        <v>36</v>
      </c>
      <c r="J474" s="11">
        <v>53</v>
      </c>
      <c r="K474" s="11">
        <v>63</v>
      </c>
      <c r="L474" s="11">
        <v>51</v>
      </c>
      <c r="M474" s="11">
        <v>44</v>
      </c>
      <c r="N474" s="12">
        <f t="shared" si="28"/>
        <v>247</v>
      </c>
      <c r="O474" s="13">
        <f t="shared" si="29"/>
        <v>49.4</v>
      </c>
      <c r="P474" s="12" t="str">
        <f t="shared" si="30"/>
        <v>Improvement</v>
      </c>
      <c r="Q474" s="12" t="str">
        <f t="shared" si="31"/>
        <v>Bad</v>
      </c>
    </row>
    <row r="475" spans="1:17">
      <c r="A475" s="11" t="s">
        <v>711</v>
      </c>
      <c r="B475" s="11" t="s">
        <v>61</v>
      </c>
      <c r="C475" s="11" t="s">
        <v>30</v>
      </c>
      <c r="D475" s="11">
        <v>21</v>
      </c>
      <c r="E475" s="11" t="s">
        <v>27</v>
      </c>
      <c r="F475" s="11" t="s">
        <v>31</v>
      </c>
      <c r="G475" s="11">
        <v>80</v>
      </c>
      <c r="H475" s="11">
        <v>7</v>
      </c>
      <c r="I475" s="11">
        <v>72</v>
      </c>
      <c r="J475" s="11">
        <v>81</v>
      </c>
      <c r="K475" s="11">
        <v>81</v>
      </c>
      <c r="L475" s="11">
        <v>86</v>
      </c>
      <c r="M475" s="11">
        <v>86</v>
      </c>
      <c r="N475" s="12">
        <f t="shared" si="28"/>
        <v>406</v>
      </c>
      <c r="O475" s="13">
        <f t="shared" si="29"/>
        <v>81.2</v>
      </c>
      <c r="P475" s="12" t="str">
        <f t="shared" si="30"/>
        <v>TopPerformer</v>
      </c>
      <c r="Q475" s="12" t="str">
        <f t="shared" si="31"/>
        <v>Excellent</v>
      </c>
    </row>
    <row r="476" spans="1:17">
      <c r="A476" s="11" t="s">
        <v>712</v>
      </c>
      <c r="B476" s="11" t="s">
        <v>114</v>
      </c>
      <c r="C476" s="11" t="s">
        <v>19</v>
      </c>
      <c r="D476" s="11">
        <v>22</v>
      </c>
      <c r="E476" s="11" t="s">
        <v>34</v>
      </c>
      <c r="F476" s="11" t="s">
        <v>31</v>
      </c>
      <c r="G476" s="11">
        <v>84</v>
      </c>
      <c r="H476" s="11">
        <v>4.7</v>
      </c>
      <c r="I476" s="11">
        <v>69</v>
      </c>
      <c r="J476" s="11">
        <v>60</v>
      </c>
      <c r="K476" s="11">
        <v>69</v>
      </c>
      <c r="L476" s="11">
        <v>72</v>
      </c>
      <c r="M476" s="11">
        <v>71</v>
      </c>
      <c r="N476" s="12">
        <f t="shared" si="28"/>
        <v>341</v>
      </c>
      <c r="O476" s="13">
        <f t="shared" si="29"/>
        <v>68.2</v>
      </c>
      <c r="P476" s="12" t="str">
        <f t="shared" si="30"/>
        <v>Improvement</v>
      </c>
      <c r="Q476" s="12" t="str">
        <f t="shared" si="31"/>
        <v>Good</v>
      </c>
    </row>
    <row r="477" spans="1:17">
      <c r="A477" s="11" t="s">
        <v>713</v>
      </c>
      <c r="B477" s="11" t="s">
        <v>58</v>
      </c>
      <c r="C477" s="11" t="s">
        <v>19</v>
      </c>
      <c r="D477" s="11">
        <v>20</v>
      </c>
      <c r="E477" s="11" t="s">
        <v>34</v>
      </c>
      <c r="F477" s="11" t="s">
        <v>39</v>
      </c>
      <c r="G477" s="11">
        <v>82</v>
      </c>
      <c r="H477" s="11">
        <v>2</v>
      </c>
      <c r="I477" s="11">
        <v>51</v>
      </c>
      <c r="J477" s="11">
        <v>55</v>
      </c>
      <c r="K477" s="11">
        <v>49</v>
      </c>
      <c r="L477" s="11">
        <v>45</v>
      </c>
      <c r="M477" s="11">
        <v>43</v>
      </c>
      <c r="N477" s="12">
        <f t="shared" si="28"/>
        <v>243</v>
      </c>
      <c r="O477" s="13">
        <f t="shared" si="29"/>
        <v>48.6</v>
      </c>
      <c r="P477" s="12" t="str">
        <f t="shared" si="30"/>
        <v>Improvement</v>
      </c>
      <c r="Q477" s="12" t="str">
        <f t="shared" si="31"/>
        <v>Bad</v>
      </c>
    </row>
    <row r="478" spans="1:17">
      <c r="A478" s="11" t="s">
        <v>714</v>
      </c>
      <c r="B478" s="11" t="s">
        <v>136</v>
      </c>
      <c r="C478" s="11" t="s">
        <v>19</v>
      </c>
      <c r="D478" s="11">
        <v>19</v>
      </c>
      <c r="E478" s="11" t="s">
        <v>48</v>
      </c>
      <c r="F478" s="11" t="s">
        <v>35</v>
      </c>
      <c r="G478" s="11">
        <v>72</v>
      </c>
      <c r="H478" s="11">
        <v>3.2</v>
      </c>
      <c r="I478" s="11">
        <v>53</v>
      </c>
      <c r="J478" s="11">
        <v>56</v>
      </c>
      <c r="K478" s="11">
        <v>46</v>
      </c>
      <c r="L478" s="11">
        <v>47</v>
      </c>
      <c r="M478" s="11">
        <v>55</v>
      </c>
      <c r="N478" s="12">
        <f t="shared" si="28"/>
        <v>257</v>
      </c>
      <c r="O478" s="13">
        <f t="shared" si="29"/>
        <v>51.4</v>
      </c>
      <c r="P478" s="12" t="str">
        <f t="shared" si="30"/>
        <v>Improvement</v>
      </c>
      <c r="Q478" s="12" t="str">
        <f t="shared" si="31"/>
        <v>Bad</v>
      </c>
    </row>
    <row r="479" spans="1:17">
      <c r="A479" s="11" t="s">
        <v>715</v>
      </c>
      <c r="B479" s="11" t="s">
        <v>310</v>
      </c>
      <c r="C479" s="11" t="s">
        <v>30</v>
      </c>
      <c r="D479" s="11">
        <v>21</v>
      </c>
      <c r="E479" s="11" t="s">
        <v>38</v>
      </c>
      <c r="F479" s="11" t="s">
        <v>21</v>
      </c>
      <c r="G479" s="11">
        <v>89</v>
      </c>
      <c r="H479" s="11">
        <v>4.7</v>
      </c>
      <c r="I479" s="11">
        <v>60</v>
      </c>
      <c r="J479" s="11">
        <v>87</v>
      </c>
      <c r="K479" s="11">
        <v>79</v>
      </c>
      <c r="L479" s="11">
        <v>84</v>
      </c>
      <c r="M479" s="11">
        <v>79</v>
      </c>
      <c r="N479" s="12">
        <f t="shared" si="28"/>
        <v>389</v>
      </c>
      <c r="O479" s="13">
        <f t="shared" si="29"/>
        <v>77.8</v>
      </c>
      <c r="P479" s="12" t="str">
        <f t="shared" si="30"/>
        <v>Improvement</v>
      </c>
      <c r="Q479" s="12" t="str">
        <f t="shared" si="31"/>
        <v>Good</v>
      </c>
    </row>
    <row r="480" spans="1:17">
      <c r="A480" s="11" t="s">
        <v>716</v>
      </c>
      <c r="B480" s="11" t="s">
        <v>18</v>
      </c>
      <c r="C480" s="11" t="s">
        <v>19</v>
      </c>
      <c r="D480" s="11">
        <v>21</v>
      </c>
      <c r="E480" s="11" t="s">
        <v>24</v>
      </c>
      <c r="F480" s="11" t="s">
        <v>35</v>
      </c>
      <c r="G480" s="11">
        <v>79</v>
      </c>
      <c r="H480" s="11">
        <v>5.1</v>
      </c>
      <c r="I480" s="11">
        <v>53</v>
      </c>
      <c r="J480" s="11">
        <v>74</v>
      </c>
      <c r="K480" s="11">
        <v>53</v>
      </c>
      <c r="L480" s="11">
        <v>56</v>
      </c>
      <c r="M480" s="11">
        <v>51</v>
      </c>
      <c r="N480" s="12">
        <f t="shared" si="28"/>
        <v>287</v>
      </c>
      <c r="O480" s="13">
        <f t="shared" si="29"/>
        <v>57.4</v>
      </c>
      <c r="P480" s="12" t="str">
        <f t="shared" si="30"/>
        <v>Improvement</v>
      </c>
      <c r="Q480" s="12" t="str">
        <f t="shared" si="31"/>
        <v>Bad</v>
      </c>
    </row>
    <row r="481" spans="1:17">
      <c r="A481" s="11" t="s">
        <v>717</v>
      </c>
      <c r="B481" s="11" t="s">
        <v>348</v>
      </c>
      <c r="C481" s="11" t="s">
        <v>30</v>
      </c>
      <c r="D481" s="11">
        <v>20</v>
      </c>
      <c r="E481" s="11" t="s">
        <v>27</v>
      </c>
      <c r="F481" s="11" t="s">
        <v>52</v>
      </c>
      <c r="G481" s="11">
        <v>89</v>
      </c>
      <c r="H481" s="11">
        <v>2.8</v>
      </c>
      <c r="I481" s="11">
        <v>74</v>
      </c>
      <c r="J481" s="11">
        <v>76</v>
      </c>
      <c r="K481" s="11">
        <v>68</v>
      </c>
      <c r="L481" s="11">
        <v>93</v>
      </c>
      <c r="M481" s="11">
        <v>76</v>
      </c>
      <c r="N481" s="12">
        <f t="shared" si="28"/>
        <v>387</v>
      </c>
      <c r="O481" s="13">
        <f t="shared" si="29"/>
        <v>77.4</v>
      </c>
      <c r="P481" s="12" t="str">
        <f t="shared" si="30"/>
        <v>Improvement</v>
      </c>
      <c r="Q481" s="12" t="str">
        <f t="shared" si="31"/>
        <v>Good</v>
      </c>
    </row>
    <row r="482" spans="1:17">
      <c r="A482" s="11" t="s">
        <v>718</v>
      </c>
      <c r="B482" s="11" t="s">
        <v>317</v>
      </c>
      <c r="C482" s="11" t="s">
        <v>19</v>
      </c>
      <c r="D482" s="11">
        <v>19</v>
      </c>
      <c r="E482" s="11" t="s">
        <v>48</v>
      </c>
      <c r="F482" s="11" t="s">
        <v>105</v>
      </c>
      <c r="G482" s="11">
        <v>94</v>
      </c>
      <c r="H482" s="11">
        <v>6.4</v>
      </c>
      <c r="I482" s="11">
        <v>94</v>
      </c>
      <c r="J482" s="11">
        <v>78</v>
      </c>
      <c r="K482" s="11">
        <v>92</v>
      </c>
      <c r="L482" s="11">
        <v>78</v>
      </c>
      <c r="M482" s="11">
        <v>76</v>
      </c>
      <c r="N482" s="12">
        <f t="shared" si="28"/>
        <v>418</v>
      </c>
      <c r="O482" s="13">
        <f t="shared" si="29"/>
        <v>83.6</v>
      </c>
      <c r="P482" s="12" t="str">
        <f t="shared" si="30"/>
        <v>TopPerformer</v>
      </c>
      <c r="Q482" s="12" t="str">
        <f t="shared" si="31"/>
        <v>Excellent</v>
      </c>
    </row>
    <row r="483" spans="1:17">
      <c r="A483" s="11" t="s">
        <v>719</v>
      </c>
      <c r="B483" s="11" t="s">
        <v>587</v>
      </c>
      <c r="C483" s="11" t="s">
        <v>19</v>
      </c>
      <c r="D483" s="11">
        <v>18</v>
      </c>
      <c r="E483" s="11" t="s">
        <v>38</v>
      </c>
      <c r="F483" s="11" t="s">
        <v>31</v>
      </c>
      <c r="G483" s="11">
        <v>86</v>
      </c>
      <c r="H483" s="11">
        <v>4.6</v>
      </c>
      <c r="I483" s="11">
        <v>61</v>
      </c>
      <c r="J483" s="11">
        <v>49</v>
      </c>
      <c r="K483" s="11">
        <v>45</v>
      </c>
      <c r="L483" s="11">
        <v>67</v>
      </c>
      <c r="M483" s="11">
        <v>55</v>
      </c>
      <c r="N483" s="12">
        <f t="shared" si="28"/>
        <v>277</v>
      </c>
      <c r="O483" s="13">
        <f t="shared" si="29"/>
        <v>55.4</v>
      </c>
      <c r="P483" s="12" t="str">
        <f t="shared" si="30"/>
        <v>Improvement</v>
      </c>
      <c r="Q483" s="12" t="str">
        <f t="shared" si="31"/>
        <v>Bad</v>
      </c>
    </row>
    <row r="484" spans="1:17">
      <c r="A484" s="11" t="s">
        <v>720</v>
      </c>
      <c r="B484" s="11" t="s">
        <v>304</v>
      </c>
      <c r="C484" s="11" t="s">
        <v>19</v>
      </c>
      <c r="D484" s="11">
        <v>19</v>
      </c>
      <c r="E484" s="11" t="s">
        <v>34</v>
      </c>
      <c r="F484" s="11" t="s">
        <v>35</v>
      </c>
      <c r="G484" s="11">
        <v>87</v>
      </c>
      <c r="H484" s="11">
        <v>2.8</v>
      </c>
      <c r="I484" s="11">
        <v>49</v>
      </c>
      <c r="J484" s="11">
        <v>45</v>
      </c>
      <c r="K484" s="11">
        <v>45</v>
      </c>
      <c r="L484" s="11">
        <v>64</v>
      </c>
      <c r="M484" s="11">
        <v>36</v>
      </c>
      <c r="N484" s="12">
        <f t="shared" si="28"/>
        <v>239</v>
      </c>
      <c r="O484" s="13">
        <f t="shared" si="29"/>
        <v>47.8</v>
      </c>
      <c r="P484" s="12" t="str">
        <f t="shared" si="30"/>
        <v>Improvement</v>
      </c>
      <c r="Q484" s="12" t="str">
        <f t="shared" si="31"/>
        <v>Bad</v>
      </c>
    </row>
    <row r="485" spans="1:17">
      <c r="A485" s="11" t="s">
        <v>721</v>
      </c>
      <c r="B485" s="11" t="s">
        <v>258</v>
      </c>
      <c r="C485" s="11" t="s">
        <v>19</v>
      </c>
      <c r="D485" s="11">
        <v>20</v>
      </c>
      <c r="E485" s="11" t="s">
        <v>34</v>
      </c>
      <c r="F485" s="11" t="s">
        <v>21</v>
      </c>
      <c r="G485" s="11">
        <v>84</v>
      </c>
      <c r="H485" s="11">
        <v>4.4</v>
      </c>
      <c r="I485" s="11">
        <v>54</v>
      </c>
      <c r="J485" s="11">
        <v>68</v>
      </c>
      <c r="K485" s="11">
        <v>75</v>
      </c>
      <c r="L485" s="11">
        <v>64</v>
      </c>
      <c r="M485" s="11">
        <v>53</v>
      </c>
      <c r="N485" s="12">
        <f t="shared" si="28"/>
        <v>314</v>
      </c>
      <c r="O485" s="13">
        <f t="shared" si="29"/>
        <v>62.8</v>
      </c>
      <c r="P485" s="12" t="str">
        <f t="shared" si="30"/>
        <v>Improvement</v>
      </c>
      <c r="Q485" s="12" t="str">
        <f t="shared" si="31"/>
        <v>Good</v>
      </c>
    </row>
    <row r="486" spans="1:17">
      <c r="A486" s="11" t="s">
        <v>722</v>
      </c>
      <c r="B486" s="11" t="s">
        <v>482</v>
      </c>
      <c r="C486" s="11" t="s">
        <v>19</v>
      </c>
      <c r="D486" s="11">
        <v>22</v>
      </c>
      <c r="E486" s="11" t="s">
        <v>20</v>
      </c>
      <c r="F486" s="11" t="s">
        <v>44</v>
      </c>
      <c r="G486" s="11">
        <v>95</v>
      </c>
      <c r="H486" s="11">
        <v>2.7</v>
      </c>
      <c r="I486" s="11">
        <v>67</v>
      </c>
      <c r="J486" s="11">
        <v>66</v>
      </c>
      <c r="K486" s="11">
        <v>56</v>
      </c>
      <c r="L486" s="11">
        <v>56</v>
      </c>
      <c r="M486" s="11">
        <v>70</v>
      </c>
      <c r="N486" s="12">
        <f t="shared" si="28"/>
        <v>315</v>
      </c>
      <c r="O486" s="13">
        <f t="shared" si="29"/>
        <v>63</v>
      </c>
      <c r="P486" s="12" t="str">
        <f t="shared" si="30"/>
        <v>Improvement</v>
      </c>
      <c r="Q486" s="12" t="str">
        <f t="shared" si="31"/>
        <v>Good</v>
      </c>
    </row>
    <row r="487" spans="1:17">
      <c r="A487" s="11" t="s">
        <v>723</v>
      </c>
      <c r="B487" s="11" t="s">
        <v>695</v>
      </c>
      <c r="C487" s="11" t="s">
        <v>19</v>
      </c>
      <c r="D487" s="11">
        <v>18</v>
      </c>
      <c r="E487" s="11" t="s">
        <v>20</v>
      </c>
      <c r="F487" s="11" t="s">
        <v>44</v>
      </c>
      <c r="G487" s="11">
        <v>83</v>
      </c>
      <c r="H487" s="11">
        <v>3.3</v>
      </c>
      <c r="I487" s="11">
        <v>78</v>
      </c>
      <c r="J487" s="11">
        <v>64</v>
      </c>
      <c r="K487" s="11">
        <v>64</v>
      </c>
      <c r="L487" s="11">
        <v>76</v>
      </c>
      <c r="M487" s="11">
        <v>70</v>
      </c>
      <c r="N487" s="12">
        <f t="shared" si="28"/>
        <v>352</v>
      </c>
      <c r="O487" s="13">
        <f t="shared" si="29"/>
        <v>70.4</v>
      </c>
      <c r="P487" s="12" t="str">
        <f t="shared" si="30"/>
        <v>Improvement</v>
      </c>
      <c r="Q487" s="12" t="str">
        <f t="shared" si="31"/>
        <v>Good</v>
      </c>
    </row>
    <row r="488" spans="1:17">
      <c r="A488" s="11" t="s">
        <v>724</v>
      </c>
      <c r="B488" s="11" t="s">
        <v>725</v>
      </c>
      <c r="C488" s="11" t="s">
        <v>19</v>
      </c>
      <c r="D488" s="11">
        <v>18</v>
      </c>
      <c r="E488" s="11" t="s">
        <v>48</v>
      </c>
      <c r="F488" s="11" t="s">
        <v>21</v>
      </c>
      <c r="G488" s="11">
        <v>93</v>
      </c>
      <c r="H488" s="11">
        <v>1</v>
      </c>
      <c r="I488" s="11">
        <v>63</v>
      </c>
      <c r="J488" s="11">
        <v>45</v>
      </c>
      <c r="K488" s="11">
        <v>52</v>
      </c>
      <c r="L488" s="11">
        <v>51</v>
      </c>
      <c r="M488" s="11">
        <v>57</v>
      </c>
      <c r="N488" s="12">
        <f t="shared" si="28"/>
        <v>268</v>
      </c>
      <c r="O488" s="13">
        <f t="shared" si="29"/>
        <v>53.6</v>
      </c>
      <c r="P488" s="12" t="str">
        <f t="shared" si="30"/>
        <v>Improvement</v>
      </c>
      <c r="Q488" s="12" t="str">
        <f t="shared" si="31"/>
        <v>Bad</v>
      </c>
    </row>
    <row r="489" spans="1:17">
      <c r="A489" s="11" t="s">
        <v>726</v>
      </c>
      <c r="B489" s="11" t="s">
        <v>120</v>
      </c>
      <c r="C489" s="11" t="s">
        <v>19</v>
      </c>
      <c r="D489" s="11">
        <v>22</v>
      </c>
      <c r="E489" s="11" t="s">
        <v>48</v>
      </c>
      <c r="F489" s="11" t="s">
        <v>31</v>
      </c>
      <c r="G489" s="11">
        <v>86</v>
      </c>
      <c r="H489" s="11">
        <v>4.6</v>
      </c>
      <c r="I489" s="11">
        <v>74</v>
      </c>
      <c r="J489" s="11">
        <v>73</v>
      </c>
      <c r="K489" s="11">
        <v>85</v>
      </c>
      <c r="L489" s="11">
        <v>80</v>
      </c>
      <c r="M489" s="11">
        <v>63</v>
      </c>
      <c r="N489" s="12">
        <f t="shared" si="28"/>
        <v>375</v>
      </c>
      <c r="O489" s="13">
        <f t="shared" si="29"/>
        <v>75</v>
      </c>
      <c r="P489" s="12" t="str">
        <f t="shared" si="30"/>
        <v>Improvement</v>
      </c>
      <c r="Q489" s="12" t="str">
        <f t="shared" si="31"/>
        <v>Good</v>
      </c>
    </row>
    <row r="490" spans="1:17">
      <c r="A490" s="11" t="s">
        <v>727</v>
      </c>
      <c r="B490" s="11" t="s">
        <v>728</v>
      </c>
      <c r="C490" s="11" t="s">
        <v>19</v>
      </c>
      <c r="D490" s="11">
        <v>19</v>
      </c>
      <c r="E490" s="11" t="s">
        <v>48</v>
      </c>
      <c r="F490" s="11" t="s">
        <v>39</v>
      </c>
      <c r="G490" s="11">
        <v>92</v>
      </c>
      <c r="H490" s="11">
        <v>4.1</v>
      </c>
      <c r="I490" s="11">
        <v>70</v>
      </c>
      <c r="J490" s="11">
        <v>53</v>
      </c>
      <c r="K490" s="11">
        <v>68</v>
      </c>
      <c r="L490" s="11">
        <v>64</v>
      </c>
      <c r="M490" s="11">
        <v>60</v>
      </c>
      <c r="N490" s="12">
        <f t="shared" si="28"/>
        <v>315</v>
      </c>
      <c r="O490" s="13">
        <f t="shared" si="29"/>
        <v>63</v>
      </c>
      <c r="P490" s="12" t="str">
        <f t="shared" si="30"/>
        <v>Improvement</v>
      </c>
      <c r="Q490" s="12" t="str">
        <f t="shared" si="31"/>
        <v>Good</v>
      </c>
    </row>
    <row r="491" spans="1:17">
      <c r="A491" s="11" t="s">
        <v>729</v>
      </c>
      <c r="B491" s="11" t="s">
        <v>576</v>
      </c>
      <c r="C491" s="11" t="s">
        <v>30</v>
      </c>
      <c r="D491" s="11">
        <v>18</v>
      </c>
      <c r="E491" s="11" t="s">
        <v>48</v>
      </c>
      <c r="F491" s="11" t="s">
        <v>31</v>
      </c>
      <c r="G491" s="11">
        <v>76</v>
      </c>
      <c r="H491" s="11">
        <v>4.2</v>
      </c>
      <c r="I491" s="11">
        <v>65</v>
      </c>
      <c r="J491" s="11">
        <v>71</v>
      </c>
      <c r="K491" s="11">
        <v>78</v>
      </c>
      <c r="L491" s="11">
        <v>56</v>
      </c>
      <c r="M491" s="11">
        <v>71</v>
      </c>
      <c r="N491" s="12">
        <f t="shared" si="28"/>
        <v>341</v>
      </c>
      <c r="O491" s="13">
        <f t="shared" si="29"/>
        <v>68.2</v>
      </c>
      <c r="P491" s="12" t="str">
        <f t="shared" si="30"/>
        <v>Improvement</v>
      </c>
      <c r="Q491" s="12" t="str">
        <f t="shared" si="31"/>
        <v>Good</v>
      </c>
    </row>
    <row r="492" spans="1:17">
      <c r="A492" s="11" t="s">
        <v>730</v>
      </c>
      <c r="B492" s="11" t="s">
        <v>469</v>
      </c>
      <c r="C492" s="11" t="s">
        <v>19</v>
      </c>
      <c r="D492" s="11">
        <v>22</v>
      </c>
      <c r="E492" s="11" t="s">
        <v>27</v>
      </c>
      <c r="F492" s="11" t="s">
        <v>31</v>
      </c>
      <c r="G492" s="11">
        <v>83</v>
      </c>
      <c r="H492" s="11">
        <v>6.7</v>
      </c>
      <c r="I492" s="11">
        <v>76</v>
      </c>
      <c r="J492" s="11">
        <v>90</v>
      </c>
      <c r="K492" s="11">
        <v>69</v>
      </c>
      <c r="L492" s="11">
        <v>88</v>
      </c>
      <c r="M492" s="11">
        <v>74</v>
      </c>
      <c r="N492" s="12">
        <f t="shared" si="28"/>
        <v>397</v>
      </c>
      <c r="O492" s="13">
        <f t="shared" si="29"/>
        <v>79.4</v>
      </c>
      <c r="P492" s="12" t="str">
        <f t="shared" si="30"/>
        <v>Improvement</v>
      </c>
      <c r="Q492" s="12" t="str">
        <f t="shared" si="31"/>
        <v>Good</v>
      </c>
    </row>
    <row r="493" spans="1:17">
      <c r="A493" s="11" t="s">
        <v>731</v>
      </c>
      <c r="B493" s="11" t="s">
        <v>260</v>
      </c>
      <c r="C493" s="11" t="s">
        <v>30</v>
      </c>
      <c r="D493" s="11">
        <v>19</v>
      </c>
      <c r="E493" s="11" t="s">
        <v>34</v>
      </c>
      <c r="F493" s="11" t="s">
        <v>39</v>
      </c>
      <c r="G493" s="11">
        <v>81</v>
      </c>
      <c r="H493" s="11">
        <v>2.9</v>
      </c>
      <c r="I493" s="11">
        <v>68</v>
      </c>
      <c r="J493" s="11">
        <v>61</v>
      </c>
      <c r="K493" s="11">
        <v>58</v>
      </c>
      <c r="L493" s="11">
        <v>59</v>
      </c>
      <c r="M493" s="11">
        <v>69</v>
      </c>
      <c r="N493" s="12">
        <f t="shared" si="28"/>
        <v>315</v>
      </c>
      <c r="O493" s="13">
        <f t="shared" si="29"/>
        <v>63</v>
      </c>
      <c r="P493" s="12" t="str">
        <f t="shared" si="30"/>
        <v>Improvement</v>
      </c>
      <c r="Q493" s="12" t="str">
        <f t="shared" si="31"/>
        <v>Good</v>
      </c>
    </row>
    <row r="494" spans="1:17">
      <c r="A494" s="11" t="s">
        <v>732</v>
      </c>
      <c r="B494" s="11" t="s">
        <v>148</v>
      </c>
      <c r="C494" s="11" t="s">
        <v>19</v>
      </c>
      <c r="D494" s="11">
        <v>21</v>
      </c>
      <c r="E494" s="11" t="s">
        <v>38</v>
      </c>
      <c r="F494" s="11" t="s">
        <v>64</v>
      </c>
      <c r="G494" s="11">
        <v>85</v>
      </c>
      <c r="H494" s="11">
        <v>6.1</v>
      </c>
      <c r="I494" s="11">
        <v>72</v>
      </c>
      <c r="J494" s="11">
        <v>80</v>
      </c>
      <c r="K494" s="11">
        <v>75</v>
      </c>
      <c r="L494" s="11">
        <v>80</v>
      </c>
      <c r="M494" s="11">
        <v>95</v>
      </c>
      <c r="N494" s="12">
        <f t="shared" si="28"/>
        <v>402</v>
      </c>
      <c r="O494" s="13">
        <f t="shared" si="29"/>
        <v>80.4</v>
      </c>
      <c r="P494" s="12" t="str">
        <f t="shared" si="30"/>
        <v>TopPerformer</v>
      </c>
      <c r="Q494" s="12" t="str">
        <f t="shared" si="31"/>
        <v>Excellent</v>
      </c>
    </row>
    <row r="495" spans="1:17">
      <c r="A495" s="11" t="s">
        <v>733</v>
      </c>
      <c r="B495" s="11" t="s">
        <v>702</v>
      </c>
      <c r="C495" s="11" t="s">
        <v>30</v>
      </c>
      <c r="D495" s="11">
        <v>19</v>
      </c>
      <c r="E495" s="11" t="s">
        <v>34</v>
      </c>
      <c r="F495" s="11" t="s">
        <v>44</v>
      </c>
      <c r="G495" s="11">
        <v>74</v>
      </c>
      <c r="H495" s="11">
        <v>4.2</v>
      </c>
      <c r="I495" s="11">
        <v>72</v>
      </c>
      <c r="J495" s="11">
        <v>78</v>
      </c>
      <c r="K495" s="11">
        <v>54</v>
      </c>
      <c r="L495" s="11">
        <v>78</v>
      </c>
      <c r="M495" s="11">
        <v>66</v>
      </c>
      <c r="N495" s="12">
        <f t="shared" si="28"/>
        <v>348</v>
      </c>
      <c r="O495" s="13">
        <f t="shared" si="29"/>
        <v>69.6</v>
      </c>
      <c r="P495" s="12" t="str">
        <f t="shared" si="30"/>
        <v>Improvement</v>
      </c>
      <c r="Q495" s="12" t="str">
        <f t="shared" si="31"/>
        <v>Good</v>
      </c>
    </row>
    <row r="496" spans="1:17">
      <c r="A496" s="11" t="s">
        <v>734</v>
      </c>
      <c r="B496" s="11" t="s">
        <v>170</v>
      </c>
      <c r="C496" s="11" t="s">
        <v>30</v>
      </c>
      <c r="D496" s="11">
        <v>19</v>
      </c>
      <c r="E496" s="11" t="s">
        <v>27</v>
      </c>
      <c r="F496" s="11" t="s">
        <v>21</v>
      </c>
      <c r="G496" s="11">
        <v>84</v>
      </c>
      <c r="H496" s="11">
        <v>5.5</v>
      </c>
      <c r="I496" s="11">
        <v>61</v>
      </c>
      <c r="J496" s="11">
        <v>52</v>
      </c>
      <c r="K496" s="11">
        <v>64</v>
      </c>
      <c r="L496" s="11">
        <v>67</v>
      </c>
      <c r="M496" s="11">
        <v>71</v>
      </c>
      <c r="N496" s="12">
        <f t="shared" si="28"/>
        <v>315</v>
      </c>
      <c r="O496" s="13">
        <f t="shared" si="29"/>
        <v>63</v>
      </c>
      <c r="P496" s="12" t="str">
        <f t="shared" si="30"/>
        <v>Improvement</v>
      </c>
      <c r="Q496" s="12" t="str">
        <f t="shared" si="31"/>
        <v>Good</v>
      </c>
    </row>
    <row r="497" spans="1:17">
      <c r="A497" s="11" t="s">
        <v>735</v>
      </c>
      <c r="B497" s="11" t="s">
        <v>120</v>
      </c>
      <c r="C497" s="11" t="s">
        <v>19</v>
      </c>
      <c r="D497" s="11">
        <v>18</v>
      </c>
      <c r="E497" s="11" t="s">
        <v>34</v>
      </c>
      <c r="F497" s="11" t="s">
        <v>52</v>
      </c>
      <c r="G497" s="11">
        <v>67</v>
      </c>
      <c r="H497" s="11">
        <v>4.7</v>
      </c>
      <c r="I497" s="11">
        <v>69</v>
      </c>
      <c r="J497" s="11">
        <v>62</v>
      </c>
      <c r="K497" s="11">
        <v>79</v>
      </c>
      <c r="L497" s="11">
        <v>62</v>
      </c>
      <c r="M497" s="11">
        <v>70</v>
      </c>
      <c r="N497" s="12">
        <f t="shared" si="28"/>
        <v>342</v>
      </c>
      <c r="O497" s="13">
        <f t="shared" si="29"/>
        <v>68.4</v>
      </c>
      <c r="P497" s="12" t="str">
        <f t="shared" si="30"/>
        <v>Improvement</v>
      </c>
      <c r="Q497" s="12" t="str">
        <f t="shared" si="31"/>
        <v>Good</v>
      </c>
    </row>
    <row r="498" spans="1:17">
      <c r="A498" s="11" t="s">
        <v>736</v>
      </c>
      <c r="B498" s="11" t="s">
        <v>417</v>
      </c>
      <c r="C498" s="11" t="s">
        <v>19</v>
      </c>
      <c r="D498" s="11">
        <v>20</v>
      </c>
      <c r="E498" s="11" t="s">
        <v>34</v>
      </c>
      <c r="F498" s="11" t="s">
        <v>105</v>
      </c>
      <c r="G498" s="11">
        <v>75</v>
      </c>
      <c r="H498" s="11">
        <v>3.9</v>
      </c>
      <c r="I498" s="11">
        <v>88</v>
      </c>
      <c r="J498" s="11">
        <v>58</v>
      </c>
      <c r="K498" s="11">
        <v>73</v>
      </c>
      <c r="L498" s="11">
        <v>61</v>
      </c>
      <c r="M498" s="11">
        <v>78</v>
      </c>
      <c r="N498" s="12">
        <f t="shared" si="28"/>
        <v>358</v>
      </c>
      <c r="O498" s="13">
        <f t="shared" si="29"/>
        <v>71.6</v>
      </c>
      <c r="P498" s="12" t="str">
        <f t="shared" si="30"/>
        <v>Improvement</v>
      </c>
      <c r="Q498" s="12" t="str">
        <f t="shared" si="31"/>
        <v>Good</v>
      </c>
    </row>
    <row r="499" spans="1:17">
      <c r="A499" s="11" t="s">
        <v>737</v>
      </c>
      <c r="B499" s="11" t="s">
        <v>81</v>
      </c>
      <c r="C499" s="11" t="s">
        <v>30</v>
      </c>
      <c r="D499" s="11">
        <v>21</v>
      </c>
      <c r="E499" s="11" t="s">
        <v>38</v>
      </c>
      <c r="F499" s="11" t="s">
        <v>31</v>
      </c>
      <c r="G499" s="11">
        <v>81</v>
      </c>
      <c r="H499" s="11">
        <v>4.3</v>
      </c>
      <c r="I499" s="11">
        <v>69</v>
      </c>
      <c r="J499" s="11">
        <v>59</v>
      </c>
      <c r="K499" s="11">
        <v>75</v>
      </c>
      <c r="L499" s="11">
        <v>69</v>
      </c>
      <c r="M499" s="11">
        <v>79</v>
      </c>
      <c r="N499" s="12">
        <f t="shared" si="28"/>
        <v>351</v>
      </c>
      <c r="O499" s="13">
        <f t="shared" si="29"/>
        <v>70.2</v>
      </c>
      <c r="P499" s="12" t="str">
        <f t="shared" si="30"/>
        <v>Improvement</v>
      </c>
      <c r="Q499" s="12" t="str">
        <f t="shared" si="31"/>
        <v>Good</v>
      </c>
    </row>
    <row r="500" spans="1:17">
      <c r="A500" s="11" t="s">
        <v>738</v>
      </c>
      <c r="B500" s="11" t="s">
        <v>739</v>
      </c>
      <c r="C500" s="11" t="s">
        <v>30</v>
      </c>
      <c r="D500" s="11">
        <v>21</v>
      </c>
      <c r="E500" s="11" t="s">
        <v>27</v>
      </c>
      <c r="F500" s="11" t="s">
        <v>21</v>
      </c>
      <c r="G500" s="11">
        <v>93</v>
      </c>
      <c r="H500" s="11">
        <v>4</v>
      </c>
      <c r="I500" s="11">
        <v>59</v>
      </c>
      <c r="J500" s="11">
        <v>80</v>
      </c>
      <c r="K500" s="11">
        <v>58</v>
      </c>
      <c r="L500" s="11">
        <v>60</v>
      </c>
      <c r="M500" s="11">
        <v>71</v>
      </c>
      <c r="N500" s="12">
        <f t="shared" si="28"/>
        <v>328</v>
      </c>
      <c r="O500" s="13">
        <f t="shared" si="29"/>
        <v>65.6</v>
      </c>
      <c r="P500" s="12" t="str">
        <f t="shared" si="30"/>
        <v>Improvement</v>
      </c>
      <c r="Q500" s="12" t="str">
        <f t="shared" si="31"/>
        <v>Good</v>
      </c>
    </row>
    <row r="501" spans="1:17">
      <c r="A501" s="11" t="s">
        <v>740</v>
      </c>
      <c r="B501" s="11" t="s">
        <v>132</v>
      </c>
      <c r="C501" s="11" t="s">
        <v>30</v>
      </c>
      <c r="D501" s="11">
        <v>20</v>
      </c>
      <c r="E501" s="11" t="s">
        <v>24</v>
      </c>
      <c r="F501" s="11" t="s">
        <v>44</v>
      </c>
      <c r="G501" s="11">
        <v>90</v>
      </c>
      <c r="H501" s="11">
        <v>4.6</v>
      </c>
      <c r="I501" s="11">
        <v>60</v>
      </c>
      <c r="J501" s="11">
        <v>67</v>
      </c>
      <c r="K501" s="11">
        <v>60</v>
      </c>
      <c r="L501" s="11">
        <v>72</v>
      </c>
      <c r="M501" s="11">
        <v>75</v>
      </c>
      <c r="N501" s="12">
        <f t="shared" si="28"/>
        <v>334</v>
      </c>
      <c r="O501" s="13">
        <f t="shared" si="29"/>
        <v>66.8</v>
      </c>
      <c r="P501" s="12" t="str">
        <f t="shared" si="30"/>
        <v>Improvement</v>
      </c>
      <c r="Q501" s="12" t="str">
        <f t="shared" si="31"/>
        <v>Good</v>
      </c>
    </row>
    <row r="502" spans="1:17">
      <c r="A502" s="11" t="s">
        <v>741</v>
      </c>
      <c r="B502" s="11" t="s">
        <v>201</v>
      </c>
      <c r="C502" s="11" t="s">
        <v>30</v>
      </c>
      <c r="D502" s="11">
        <v>20</v>
      </c>
      <c r="E502" s="11" t="s">
        <v>24</v>
      </c>
      <c r="F502" s="11" t="s">
        <v>39</v>
      </c>
      <c r="G502" s="11">
        <v>79</v>
      </c>
      <c r="H502" s="11">
        <v>3.1</v>
      </c>
      <c r="I502" s="11">
        <v>61</v>
      </c>
      <c r="J502" s="11">
        <v>66</v>
      </c>
      <c r="K502" s="11">
        <v>56</v>
      </c>
      <c r="L502" s="11">
        <v>57</v>
      </c>
      <c r="M502" s="11">
        <v>69</v>
      </c>
      <c r="N502" s="12">
        <f t="shared" si="28"/>
        <v>309</v>
      </c>
      <c r="O502" s="13">
        <f t="shared" si="29"/>
        <v>61.8</v>
      </c>
      <c r="P502" s="12" t="str">
        <f t="shared" si="30"/>
        <v>Improvement</v>
      </c>
      <c r="Q502" s="12" t="str">
        <f t="shared" si="31"/>
        <v>Good</v>
      </c>
    </row>
    <row r="503" spans="1:17">
      <c r="A503" s="11" t="s">
        <v>742</v>
      </c>
      <c r="B503" s="11" t="s">
        <v>41</v>
      </c>
      <c r="C503" s="11" t="s">
        <v>30</v>
      </c>
      <c r="D503" s="11">
        <v>21</v>
      </c>
      <c r="E503" s="11" t="s">
        <v>48</v>
      </c>
      <c r="F503" s="11" t="s">
        <v>105</v>
      </c>
      <c r="G503" s="11">
        <v>77</v>
      </c>
      <c r="H503" s="11">
        <v>3.8</v>
      </c>
      <c r="I503" s="11">
        <v>80</v>
      </c>
      <c r="J503" s="11">
        <v>79</v>
      </c>
      <c r="K503" s="11">
        <v>88</v>
      </c>
      <c r="L503" s="11">
        <v>67</v>
      </c>
      <c r="M503" s="11">
        <v>65</v>
      </c>
      <c r="N503" s="12">
        <f t="shared" si="28"/>
        <v>379</v>
      </c>
      <c r="O503" s="13">
        <f t="shared" si="29"/>
        <v>75.8</v>
      </c>
      <c r="P503" s="12" t="str">
        <f t="shared" si="30"/>
        <v>Improvement</v>
      </c>
      <c r="Q503" s="12" t="str">
        <f t="shared" si="31"/>
        <v>Good</v>
      </c>
    </row>
    <row r="504" spans="1:17">
      <c r="A504" s="11" t="s">
        <v>743</v>
      </c>
      <c r="B504" s="11" t="s">
        <v>163</v>
      </c>
      <c r="C504" s="11" t="s">
        <v>19</v>
      </c>
      <c r="D504" s="11">
        <v>18</v>
      </c>
      <c r="E504" s="11" t="s">
        <v>24</v>
      </c>
      <c r="F504" s="11" t="s">
        <v>64</v>
      </c>
      <c r="G504" s="11">
        <v>80</v>
      </c>
      <c r="H504" s="11">
        <v>3</v>
      </c>
      <c r="I504" s="11">
        <v>69</v>
      </c>
      <c r="J504" s="11">
        <v>61</v>
      </c>
      <c r="K504" s="11">
        <v>71</v>
      </c>
      <c r="L504" s="11">
        <v>72</v>
      </c>
      <c r="M504" s="11">
        <v>60</v>
      </c>
      <c r="N504" s="12">
        <f t="shared" si="28"/>
        <v>333</v>
      </c>
      <c r="O504" s="13">
        <f t="shared" si="29"/>
        <v>66.6</v>
      </c>
      <c r="P504" s="12" t="str">
        <f t="shared" si="30"/>
        <v>Improvement</v>
      </c>
      <c r="Q504" s="12" t="str">
        <f t="shared" si="31"/>
        <v>Good</v>
      </c>
    </row>
    <row r="505" spans="1:17">
      <c r="A505" s="11" t="s">
        <v>744</v>
      </c>
      <c r="B505" s="11" t="s">
        <v>142</v>
      </c>
      <c r="C505" s="11" t="s">
        <v>30</v>
      </c>
      <c r="D505" s="11">
        <v>22</v>
      </c>
      <c r="E505" s="11" t="s">
        <v>38</v>
      </c>
      <c r="F505" s="11" t="s">
        <v>39</v>
      </c>
      <c r="G505" s="11">
        <v>75</v>
      </c>
      <c r="H505" s="11">
        <v>3.9</v>
      </c>
      <c r="I505" s="11">
        <v>52</v>
      </c>
      <c r="J505" s="11">
        <v>47</v>
      </c>
      <c r="K505" s="11">
        <v>58</v>
      </c>
      <c r="L505" s="11">
        <v>60</v>
      </c>
      <c r="M505" s="11">
        <v>60</v>
      </c>
      <c r="N505" s="12">
        <f t="shared" si="28"/>
        <v>277</v>
      </c>
      <c r="O505" s="13">
        <f t="shared" si="29"/>
        <v>55.4</v>
      </c>
      <c r="P505" s="12" t="str">
        <f t="shared" si="30"/>
        <v>Improvement</v>
      </c>
      <c r="Q505" s="12" t="str">
        <f t="shared" si="31"/>
        <v>Bad</v>
      </c>
    </row>
    <row r="506" spans="1:17">
      <c r="A506" s="11" t="s">
        <v>745</v>
      </c>
      <c r="B506" s="11" t="s">
        <v>130</v>
      </c>
      <c r="C506" s="11" t="s">
        <v>19</v>
      </c>
      <c r="D506" s="11">
        <v>22</v>
      </c>
      <c r="E506" s="11" t="s">
        <v>24</v>
      </c>
      <c r="F506" s="11" t="s">
        <v>31</v>
      </c>
      <c r="G506" s="11">
        <v>68</v>
      </c>
      <c r="H506" s="11">
        <v>2.9</v>
      </c>
      <c r="I506" s="11">
        <v>51</v>
      </c>
      <c r="J506" s="11">
        <v>55</v>
      </c>
      <c r="K506" s="11">
        <v>66</v>
      </c>
      <c r="L506" s="11">
        <v>61</v>
      </c>
      <c r="M506" s="11">
        <v>47</v>
      </c>
      <c r="N506" s="12">
        <f t="shared" si="28"/>
        <v>280</v>
      </c>
      <c r="O506" s="13">
        <f t="shared" si="29"/>
        <v>56</v>
      </c>
      <c r="P506" s="12" t="str">
        <f t="shared" si="30"/>
        <v>Improvement</v>
      </c>
      <c r="Q506" s="12" t="str">
        <f t="shared" si="31"/>
        <v>Bad</v>
      </c>
    </row>
    <row r="507" spans="1:17">
      <c r="A507" s="11" t="s">
        <v>746</v>
      </c>
      <c r="B507" s="11" t="s">
        <v>369</v>
      </c>
      <c r="C507" s="11" t="s">
        <v>19</v>
      </c>
      <c r="D507" s="11">
        <v>21</v>
      </c>
      <c r="E507" s="11" t="s">
        <v>34</v>
      </c>
      <c r="F507" s="11" t="s">
        <v>52</v>
      </c>
      <c r="G507" s="11">
        <v>89</v>
      </c>
      <c r="H507" s="11">
        <v>3.6</v>
      </c>
      <c r="I507" s="11">
        <v>59</v>
      </c>
      <c r="J507" s="11">
        <v>57</v>
      </c>
      <c r="K507" s="11">
        <v>53</v>
      </c>
      <c r="L507" s="11">
        <v>55</v>
      </c>
      <c r="M507" s="11">
        <v>49</v>
      </c>
      <c r="N507" s="12">
        <f t="shared" si="28"/>
        <v>273</v>
      </c>
      <c r="O507" s="13">
        <f t="shared" si="29"/>
        <v>54.6</v>
      </c>
      <c r="P507" s="12" t="str">
        <f t="shared" si="30"/>
        <v>Improvement</v>
      </c>
      <c r="Q507" s="12" t="str">
        <f t="shared" si="31"/>
        <v>Bad</v>
      </c>
    </row>
    <row r="508" spans="1:17">
      <c r="A508" s="11" t="s">
        <v>747</v>
      </c>
      <c r="B508" s="11" t="s">
        <v>207</v>
      </c>
      <c r="C508" s="11" t="s">
        <v>30</v>
      </c>
      <c r="D508" s="11">
        <v>20</v>
      </c>
      <c r="E508" s="11" t="s">
        <v>34</v>
      </c>
      <c r="F508" s="11" t="s">
        <v>52</v>
      </c>
      <c r="G508" s="11">
        <v>85</v>
      </c>
      <c r="H508" s="11">
        <v>2.1</v>
      </c>
      <c r="I508" s="11">
        <v>34</v>
      </c>
      <c r="J508" s="11">
        <v>56</v>
      </c>
      <c r="K508" s="11">
        <v>42</v>
      </c>
      <c r="L508" s="11">
        <v>53</v>
      </c>
      <c r="M508" s="11">
        <v>55</v>
      </c>
      <c r="N508" s="12">
        <f t="shared" si="28"/>
        <v>240</v>
      </c>
      <c r="O508" s="13">
        <f t="shared" si="29"/>
        <v>48</v>
      </c>
      <c r="P508" s="12" t="str">
        <f t="shared" si="30"/>
        <v>Improvement</v>
      </c>
      <c r="Q508" s="12" t="str">
        <f t="shared" si="31"/>
        <v>Bad</v>
      </c>
    </row>
    <row r="509" spans="1:17">
      <c r="A509" s="11" t="s">
        <v>748</v>
      </c>
      <c r="B509" s="11" t="s">
        <v>680</v>
      </c>
      <c r="C509" s="11" t="s">
        <v>30</v>
      </c>
      <c r="D509" s="11">
        <v>19</v>
      </c>
      <c r="E509" s="11" t="s">
        <v>24</v>
      </c>
      <c r="F509" s="11" t="s">
        <v>21</v>
      </c>
      <c r="G509" s="11">
        <v>97</v>
      </c>
      <c r="H509" s="11">
        <v>6.4</v>
      </c>
      <c r="I509" s="11">
        <v>88</v>
      </c>
      <c r="J509" s="11">
        <v>77</v>
      </c>
      <c r="K509" s="11">
        <v>91</v>
      </c>
      <c r="L509" s="11">
        <v>84</v>
      </c>
      <c r="M509" s="11">
        <v>89</v>
      </c>
      <c r="N509" s="12">
        <f t="shared" si="28"/>
        <v>429</v>
      </c>
      <c r="O509" s="13">
        <f t="shared" si="29"/>
        <v>85.8</v>
      </c>
      <c r="P509" s="12" t="str">
        <f t="shared" si="30"/>
        <v>TopPerformer</v>
      </c>
      <c r="Q509" s="12" t="str">
        <f t="shared" si="31"/>
        <v>Excellent</v>
      </c>
    </row>
    <row r="510" spans="1:17">
      <c r="A510" s="11" t="s">
        <v>749</v>
      </c>
      <c r="B510" s="11" t="s">
        <v>75</v>
      </c>
      <c r="C510" s="11" t="s">
        <v>30</v>
      </c>
      <c r="D510" s="11">
        <v>18</v>
      </c>
      <c r="E510" s="11" t="s">
        <v>48</v>
      </c>
      <c r="F510" s="11" t="s">
        <v>52</v>
      </c>
      <c r="G510" s="11">
        <v>84</v>
      </c>
      <c r="H510" s="11">
        <v>4.5</v>
      </c>
      <c r="I510" s="11">
        <v>53</v>
      </c>
      <c r="J510" s="11">
        <v>76</v>
      </c>
      <c r="K510" s="11">
        <v>83</v>
      </c>
      <c r="L510" s="11">
        <v>67</v>
      </c>
      <c r="M510" s="11">
        <v>53</v>
      </c>
      <c r="N510" s="12">
        <f t="shared" si="28"/>
        <v>332</v>
      </c>
      <c r="O510" s="13">
        <f t="shared" si="29"/>
        <v>66.4</v>
      </c>
      <c r="P510" s="12" t="str">
        <f t="shared" si="30"/>
        <v>Improvement</v>
      </c>
      <c r="Q510" s="12" t="str">
        <f t="shared" si="31"/>
        <v>Good</v>
      </c>
    </row>
    <row r="511" spans="1:17">
      <c r="A511" s="11" t="s">
        <v>750</v>
      </c>
      <c r="B511" s="11" t="s">
        <v>85</v>
      </c>
      <c r="C511" s="11" t="s">
        <v>30</v>
      </c>
      <c r="D511" s="11">
        <v>18</v>
      </c>
      <c r="E511" s="11" t="s">
        <v>48</v>
      </c>
      <c r="F511" s="11" t="s">
        <v>39</v>
      </c>
      <c r="G511" s="11">
        <v>71</v>
      </c>
      <c r="H511" s="11">
        <v>3.6</v>
      </c>
      <c r="I511" s="11">
        <v>69</v>
      </c>
      <c r="J511" s="11">
        <v>60</v>
      </c>
      <c r="K511" s="11">
        <v>50</v>
      </c>
      <c r="L511" s="11">
        <v>67</v>
      </c>
      <c r="M511" s="11">
        <v>71</v>
      </c>
      <c r="N511" s="12">
        <f t="shared" si="28"/>
        <v>317</v>
      </c>
      <c r="O511" s="13">
        <f t="shared" si="29"/>
        <v>63.4</v>
      </c>
      <c r="P511" s="12" t="str">
        <f t="shared" si="30"/>
        <v>Improvement</v>
      </c>
      <c r="Q511" s="12" t="str">
        <f t="shared" si="31"/>
        <v>Good</v>
      </c>
    </row>
    <row r="512" spans="1:17">
      <c r="A512" s="11" t="s">
        <v>751</v>
      </c>
      <c r="B512" s="11" t="s">
        <v>110</v>
      </c>
      <c r="C512" s="11" t="s">
        <v>30</v>
      </c>
      <c r="D512" s="11">
        <v>19</v>
      </c>
      <c r="E512" s="11" t="s">
        <v>24</v>
      </c>
      <c r="F512" s="11" t="s">
        <v>52</v>
      </c>
      <c r="G512" s="11">
        <v>74</v>
      </c>
      <c r="H512" s="11">
        <v>5.3</v>
      </c>
      <c r="I512" s="11">
        <v>75</v>
      </c>
      <c r="J512" s="11">
        <v>83</v>
      </c>
      <c r="K512" s="11">
        <v>63</v>
      </c>
      <c r="L512" s="11">
        <v>67</v>
      </c>
      <c r="M512" s="11">
        <v>72</v>
      </c>
      <c r="N512" s="12">
        <f t="shared" si="28"/>
        <v>360</v>
      </c>
      <c r="O512" s="13">
        <f t="shared" si="29"/>
        <v>72</v>
      </c>
      <c r="P512" s="12" t="str">
        <f t="shared" si="30"/>
        <v>Improvement</v>
      </c>
      <c r="Q512" s="12" t="str">
        <f t="shared" si="31"/>
        <v>Good</v>
      </c>
    </row>
    <row r="513" spans="1:17">
      <c r="A513" s="11" t="s">
        <v>752</v>
      </c>
      <c r="B513" s="11" t="s">
        <v>383</v>
      </c>
      <c r="C513" s="11" t="s">
        <v>19</v>
      </c>
      <c r="D513" s="11">
        <v>21</v>
      </c>
      <c r="E513" s="11" t="s">
        <v>38</v>
      </c>
      <c r="F513" s="11" t="s">
        <v>52</v>
      </c>
      <c r="G513" s="11">
        <v>73</v>
      </c>
      <c r="H513" s="11">
        <v>3.9</v>
      </c>
      <c r="I513" s="11">
        <v>71</v>
      </c>
      <c r="J513" s="11">
        <v>67</v>
      </c>
      <c r="K513" s="11">
        <v>68</v>
      </c>
      <c r="L513" s="11">
        <v>66</v>
      </c>
      <c r="M513" s="11">
        <v>62</v>
      </c>
      <c r="N513" s="12">
        <f t="shared" si="28"/>
        <v>334</v>
      </c>
      <c r="O513" s="13">
        <f t="shared" si="29"/>
        <v>66.8</v>
      </c>
      <c r="P513" s="12" t="str">
        <f t="shared" si="30"/>
        <v>Improvement</v>
      </c>
      <c r="Q513" s="12" t="str">
        <f t="shared" si="31"/>
        <v>Good</v>
      </c>
    </row>
    <row r="514" spans="1:17">
      <c r="A514" s="11" t="s">
        <v>753</v>
      </c>
      <c r="B514" s="11" t="s">
        <v>144</v>
      </c>
      <c r="C514" s="11" t="s">
        <v>19</v>
      </c>
      <c r="D514" s="11">
        <v>21</v>
      </c>
      <c r="E514" s="11" t="s">
        <v>27</v>
      </c>
      <c r="F514" s="11" t="s">
        <v>31</v>
      </c>
      <c r="G514" s="11">
        <v>97</v>
      </c>
      <c r="H514" s="11">
        <v>5.8</v>
      </c>
      <c r="I514" s="11">
        <v>83</v>
      </c>
      <c r="J514" s="11">
        <v>79</v>
      </c>
      <c r="K514" s="11">
        <v>70</v>
      </c>
      <c r="L514" s="11">
        <v>78</v>
      </c>
      <c r="M514" s="11">
        <v>81</v>
      </c>
      <c r="N514" s="12">
        <f t="shared" ref="N514:N577" si="32">SUM(I514:M514)</f>
        <v>391</v>
      </c>
      <c r="O514" s="13">
        <f t="shared" ref="O514:O577" si="33">AVERAGE(N514/5)</f>
        <v>78.2</v>
      </c>
      <c r="P514" s="12" t="str">
        <f t="shared" ref="P514:P577" si="34">IF(N514&gt;=400,"TopPerformer","Improvement")</f>
        <v>Improvement</v>
      </c>
      <c r="Q514" s="12" t="str">
        <f t="shared" ref="Q514:Q577" si="35">IF(N514&gt;=400,"Excellent",IF(N514&gt;=300,"Good",IF(N514&gt;=200,"Bad","Very Bad")))</f>
        <v>Good</v>
      </c>
    </row>
    <row r="515" spans="1:17">
      <c r="A515" s="11" t="s">
        <v>754</v>
      </c>
      <c r="B515" s="11" t="s">
        <v>524</v>
      </c>
      <c r="C515" s="11" t="s">
        <v>19</v>
      </c>
      <c r="D515" s="11">
        <v>20</v>
      </c>
      <c r="E515" s="11" t="s">
        <v>48</v>
      </c>
      <c r="F515" s="11" t="s">
        <v>39</v>
      </c>
      <c r="G515" s="11">
        <v>75</v>
      </c>
      <c r="H515" s="11">
        <v>2.8</v>
      </c>
      <c r="I515" s="11">
        <v>75</v>
      </c>
      <c r="J515" s="11">
        <v>66</v>
      </c>
      <c r="K515" s="11">
        <v>68</v>
      </c>
      <c r="L515" s="11">
        <v>68</v>
      </c>
      <c r="M515" s="11">
        <v>69</v>
      </c>
      <c r="N515" s="12">
        <f t="shared" si="32"/>
        <v>346</v>
      </c>
      <c r="O515" s="13">
        <f t="shared" si="33"/>
        <v>69.2</v>
      </c>
      <c r="P515" s="12" t="str">
        <f t="shared" si="34"/>
        <v>Improvement</v>
      </c>
      <c r="Q515" s="12" t="str">
        <f t="shared" si="35"/>
        <v>Good</v>
      </c>
    </row>
    <row r="516" spans="1:17">
      <c r="A516" s="11" t="s">
        <v>755</v>
      </c>
      <c r="B516" s="11" t="s">
        <v>210</v>
      </c>
      <c r="C516" s="11" t="s">
        <v>19</v>
      </c>
      <c r="D516" s="11">
        <v>19</v>
      </c>
      <c r="E516" s="11" t="s">
        <v>24</v>
      </c>
      <c r="F516" s="11" t="s">
        <v>31</v>
      </c>
      <c r="G516" s="11">
        <v>87</v>
      </c>
      <c r="H516" s="11">
        <v>1.3</v>
      </c>
      <c r="I516" s="11">
        <v>62</v>
      </c>
      <c r="J516" s="11">
        <v>55</v>
      </c>
      <c r="K516" s="11">
        <v>30</v>
      </c>
      <c r="L516" s="11">
        <v>57</v>
      </c>
      <c r="M516" s="11">
        <v>67</v>
      </c>
      <c r="N516" s="12">
        <f t="shared" si="32"/>
        <v>271</v>
      </c>
      <c r="O516" s="13">
        <f t="shared" si="33"/>
        <v>54.2</v>
      </c>
      <c r="P516" s="12" t="str">
        <f t="shared" si="34"/>
        <v>Improvement</v>
      </c>
      <c r="Q516" s="12" t="str">
        <f t="shared" si="35"/>
        <v>Bad</v>
      </c>
    </row>
    <row r="517" spans="1:17">
      <c r="A517" s="11" t="s">
        <v>756</v>
      </c>
      <c r="B517" s="11" t="s">
        <v>406</v>
      </c>
      <c r="C517" s="11" t="s">
        <v>30</v>
      </c>
      <c r="D517" s="11">
        <v>22</v>
      </c>
      <c r="E517" s="11" t="s">
        <v>20</v>
      </c>
      <c r="F517" s="11" t="s">
        <v>35</v>
      </c>
      <c r="G517" s="11">
        <v>90</v>
      </c>
      <c r="H517" s="11">
        <v>3.8</v>
      </c>
      <c r="I517" s="11">
        <v>53</v>
      </c>
      <c r="J517" s="11">
        <v>59</v>
      </c>
      <c r="K517" s="11">
        <v>52</v>
      </c>
      <c r="L517" s="11">
        <v>54</v>
      </c>
      <c r="M517" s="11">
        <v>46</v>
      </c>
      <c r="N517" s="12">
        <f t="shared" si="32"/>
        <v>264</v>
      </c>
      <c r="O517" s="13">
        <f t="shared" si="33"/>
        <v>52.8</v>
      </c>
      <c r="P517" s="12" t="str">
        <f t="shared" si="34"/>
        <v>Improvement</v>
      </c>
      <c r="Q517" s="12" t="str">
        <f t="shared" si="35"/>
        <v>Bad</v>
      </c>
    </row>
    <row r="518" spans="1:17">
      <c r="A518" s="11" t="s">
        <v>757</v>
      </c>
      <c r="B518" s="11" t="s">
        <v>758</v>
      </c>
      <c r="C518" s="11" t="s">
        <v>19</v>
      </c>
      <c r="D518" s="11">
        <v>19</v>
      </c>
      <c r="E518" s="11" t="s">
        <v>38</v>
      </c>
      <c r="F518" s="11" t="s">
        <v>52</v>
      </c>
      <c r="G518" s="11">
        <v>92</v>
      </c>
      <c r="H518" s="11">
        <v>1</v>
      </c>
      <c r="I518" s="11">
        <v>38</v>
      </c>
      <c r="J518" s="11">
        <v>32</v>
      </c>
      <c r="K518" s="11">
        <v>45</v>
      </c>
      <c r="L518" s="11">
        <v>48</v>
      </c>
      <c r="M518" s="11">
        <v>33</v>
      </c>
      <c r="N518" s="12">
        <f t="shared" si="32"/>
        <v>196</v>
      </c>
      <c r="O518" s="13">
        <f t="shared" si="33"/>
        <v>39.2</v>
      </c>
      <c r="P518" s="12" t="str">
        <f t="shared" si="34"/>
        <v>Improvement</v>
      </c>
      <c r="Q518" s="12" t="str">
        <f t="shared" si="35"/>
        <v>Very Bad</v>
      </c>
    </row>
    <row r="519" spans="1:17">
      <c r="A519" s="11" t="s">
        <v>759</v>
      </c>
      <c r="B519" s="11" t="s">
        <v>97</v>
      </c>
      <c r="C519" s="11" t="s">
        <v>30</v>
      </c>
      <c r="D519" s="11">
        <v>18</v>
      </c>
      <c r="E519" s="11" t="s">
        <v>48</v>
      </c>
      <c r="F519" s="11" t="s">
        <v>35</v>
      </c>
      <c r="G519" s="11">
        <v>80</v>
      </c>
      <c r="H519" s="11">
        <v>1</v>
      </c>
      <c r="I519" s="11">
        <v>50</v>
      </c>
      <c r="J519" s="11">
        <v>52</v>
      </c>
      <c r="K519" s="11">
        <v>53</v>
      </c>
      <c r="L519" s="11">
        <v>52</v>
      </c>
      <c r="M519" s="11">
        <v>48</v>
      </c>
      <c r="N519" s="12">
        <f t="shared" si="32"/>
        <v>255</v>
      </c>
      <c r="O519" s="13">
        <f t="shared" si="33"/>
        <v>51</v>
      </c>
      <c r="P519" s="12" t="str">
        <f t="shared" si="34"/>
        <v>Improvement</v>
      </c>
      <c r="Q519" s="12" t="str">
        <f t="shared" si="35"/>
        <v>Bad</v>
      </c>
    </row>
    <row r="520" spans="1:17">
      <c r="A520" s="11" t="s">
        <v>760</v>
      </c>
      <c r="B520" s="11" t="s">
        <v>58</v>
      </c>
      <c r="C520" s="11" t="s">
        <v>30</v>
      </c>
      <c r="D520" s="11">
        <v>21</v>
      </c>
      <c r="E520" s="11" t="s">
        <v>24</v>
      </c>
      <c r="F520" s="11" t="s">
        <v>21</v>
      </c>
      <c r="G520" s="11">
        <v>84</v>
      </c>
      <c r="H520" s="11">
        <v>3.5</v>
      </c>
      <c r="I520" s="11">
        <v>63</v>
      </c>
      <c r="J520" s="11">
        <v>55</v>
      </c>
      <c r="K520" s="11">
        <v>62</v>
      </c>
      <c r="L520" s="11">
        <v>59</v>
      </c>
      <c r="M520" s="11">
        <v>57</v>
      </c>
      <c r="N520" s="12">
        <f t="shared" si="32"/>
        <v>296</v>
      </c>
      <c r="O520" s="13">
        <f t="shared" si="33"/>
        <v>59.2</v>
      </c>
      <c r="P520" s="12" t="str">
        <f t="shared" si="34"/>
        <v>Improvement</v>
      </c>
      <c r="Q520" s="12" t="str">
        <f t="shared" si="35"/>
        <v>Bad</v>
      </c>
    </row>
    <row r="521" spans="1:17">
      <c r="A521" s="11" t="s">
        <v>761</v>
      </c>
      <c r="B521" s="11" t="s">
        <v>385</v>
      </c>
      <c r="C521" s="11" t="s">
        <v>30</v>
      </c>
      <c r="D521" s="11">
        <v>20</v>
      </c>
      <c r="E521" s="11" t="s">
        <v>48</v>
      </c>
      <c r="F521" s="11" t="s">
        <v>35</v>
      </c>
      <c r="G521" s="11">
        <v>85</v>
      </c>
      <c r="H521" s="11">
        <v>4.1</v>
      </c>
      <c r="I521" s="11">
        <v>68</v>
      </c>
      <c r="J521" s="11">
        <v>87</v>
      </c>
      <c r="K521" s="11">
        <v>69</v>
      </c>
      <c r="L521" s="11">
        <v>65</v>
      </c>
      <c r="M521" s="11">
        <v>64</v>
      </c>
      <c r="N521" s="12">
        <f t="shared" si="32"/>
        <v>353</v>
      </c>
      <c r="O521" s="13">
        <f t="shared" si="33"/>
        <v>70.6</v>
      </c>
      <c r="P521" s="12" t="str">
        <f t="shared" si="34"/>
        <v>Improvement</v>
      </c>
      <c r="Q521" s="12" t="str">
        <f t="shared" si="35"/>
        <v>Good</v>
      </c>
    </row>
    <row r="522" spans="1:17">
      <c r="A522" s="11" t="s">
        <v>762</v>
      </c>
      <c r="B522" s="11" t="s">
        <v>763</v>
      </c>
      <c r="C522" s="11" t="s">
        <v>19</v>
      </c>
      <c r="D522" s="11">
        <v>20</v>
      </c>
      <c r="E522" s="11" t="s">
        <v>34</v>
      </c>
      <c r="F522" s="11" t="s">
        <v>105</v>
      </c>
      <c r="G522" s="11">
        <v>87</v>
      </c>
      <c r="H522" s="11">
        <v>2.5</v>
      </c>
      <c r="I522" s="11">
        <v>70</v>
      </c>
      <c r="J522" s="11">
        <v>71</v>
      </c>
      <c r="K522" s="11">
        <v>84</v>
      </c>
      <c r="L522" s="11">
        <v>78</v>
      </c>
      <c r="M522" s="11">
        <v>90</v>
      </c>
      <c r="N522" s="12">
        <f t="shared" si="32"/>
        <v>393</v>
      </c>
      <c r="O522" s="13">
        <f t="shared" si="33"/>
        <v>78.6</v>
      </c>
      <c r="P522" s="12" t="str">
        <f t="shared" si="34"/>
        <v>Improvement</v>
      </c>
      <c r="Q522" s="12" t="str">
        <f t="shared" si="35"/>
        <v>Good</v>
      </c>
    </row>
    <row r="523" spans="1:17">
      <c r="A523" s="11" t="s">
        <v>764</v>
      </c>
      <c r="B523" s="11" t="s">
        <v>317</v>
      </c>
      <c r="C523" s="11" t="s">
        <v>19</v>
      </c>
      <c r="D523" s="11">
        <v>19</v>
      </c>
      <c r="E523" s="11" t="s">
        <v>24</v>
      </c>
      <c r="F523" s="11" t="s">
        <v>39</v>
      </c>
      <c r="G523" s="11">
        <v>65</v>
      </c>
      <c r="H523" s="11">
        <v>3.4</v>
      </c>
      <c r="I523" s="11">
        <v>72</v>
      </c>
      <c r="J523" s="11">
        <v>67</v>
      </c>
      <c r="K523" s="11">
        <v>59</v>
      </c>
      <c r="L523" s="11">
        <v>69</v>
      </c>
      <c r="M523" s="11">
        <v>75</v>
      </c>
      <c r="N523" s="12">
        <f t="shared" si="32"/>
        <v>342</v>
      </c>
      <c r="O523" s="13">
        <f t="shared" si="33"/>
        <v>68.4</v>
      </c>
      <c r="P523" s="12" t="str">
        <f t="shared" si="34"/>
        <v>Improvement</v>
      </c>
      <c r="Q523" s="12" t="str">
        <f t="shared" si="35"/>
        <v>Good</v>
      </c>
    </row>
    <row r="524" spans="1:17">
      <c r="A524" s="11" t="s">
        <v>765</v>
      </c>
      <c r="B524" s="11" t="s">
        <v>185</v>
      </c>
      <c r="C524" s="11" t="s">
        <v>19</v>
      </c>
      <c r="D524" s="11">
        <v>21</v>
      </c>
      <c r="E524" s="11" t="s">
        <v>27</v>
      </c>
      <c r="F524" s="11" t="s">
        <v>52</v>
      </c>
      <c r="G524" s="11">
        <v>89</v>
      </c>
      <c r="H524" s="11">
        <v>1</v>
      </c>
      <c r="I524" s="11">
        <v>78</v>
      </c>
      <c r="J524" s="11">
        <v>45</v>
      </c>
      <c r="K524" s="11">
        <v>55</v>
      </c>
      <c r="L524" s="11">
        <v>57</v>
      </c>
      <c r="M524" s="11">
        <v>54</v>
      </c>
      <c r="N524" s="12">
        <f t="shared" si="32"/>
        <v>289</v>
      </c>
      <c r="O524" s="13">
        <f t="shared" si="33"/>
        <v>57.8</v>
      </c>
      <c r="P524" s="12" t="str">
        <f t="shared" si="34"/>
        <v>Improvement</v>
      </c>
      <c r="Q524" s="12" t="str">
        <f t="shared" si="35"/>
        <v>Bad</v>
      </c>
    </row>
    <row r="525" spans="1:17">
      <c r="A525" s="11" t="s">
        <v>766</v>
      </c>
      <c r="B525" s="11" t="s">
        <v>68</v>
      </c>
      <c r="C525" s="11" t="s">
        <v>30</v>
      </c>
      <c r="D525" s="11">
        <v>21</v>
      </c>
      <c r="E525" s="11" t="s">
        <v>24</v>
      </c>
      <c r="F525" s="11" t="s">
        <v>64</v>
      </c>
      <c r="G525" s="11">
        <v>89</v>
      </c>
      <c r="H525" s="11">
        <v>3.8</v>
      </c>
      <c r="I525" s="11">
        <v>89</v>
      </c>
      <c r="J525" s="11">
        <v>90</v>
      </c>
      <c r="K525" s="11">
        <v>74</v>
      </c>
      <c r="L525" s="11">
        <v>84</v>
      </c>
      <c r="M525" s="11">
        <v>97</v>
      </c>
      <c r="N525" s="12">
        <f t="shared" si="32"/>
        <v>434</v>
      </c>
      <c r="O525" s="13">
        <f t="shared" si="33"/>
        <v>86.8</v>
      </c>
      <c r="P525" s="12" t="str">
        <f t="shared" si="34"/>
        <v>TopPerformer</v>
      </c>
      <c r="Q525" s="12" t="str">
        <f t="shared" si="35"/>
        <v>Excellent</v>
      </c>
    </row>
    <row r="526" spans="1:17">
      <c r="A526" s="11" t="s">
        <v>767</v>
      </c>
      <c r="B526" s="11" t="s">
        <v>167</v>
      </c>
      <c r="C526" s="11" t="s">
        <v>19</v>
      </c>
      <c r="D526" s="11">
        <v>18</v>
      </c>
      <c r="E526" s="11" t="s">
        <v>48</v>
      </c>
      <c r="F526" s="11" t="s">
        <v>31</v>
      </c>
      <c r="G526" s="11">
        <v>94</v>
      </c>
      <c r="H526" s="11">
        <v>3.9</v>
      </c>
      <c r="I526" s="11">
        <v>50</v>
      </c>
      <c r="J526" s="11">
        <v>69</v>
      </c>
      <c r="K526" s="11">
        <v>70</v>
      </c>
      <c r="L526" s="11">
        <v>51</v>
      </c>
      <c r="M526" s="11">
        <v>74</v>
      </c>
      <c r="N526" s="12">
        <f t="shared" si="32"/>
        <v>314</v>
      </c>
      <c r="O526" s="13">
        <f t="shared" si="33"/>
        <v>62.8</v>
      </c>
      <c r="P526" s="12" t="str">
        <f t="shared" si="34"/>
        <v>Improvement</v>
      </c>
      <c r="Q526" s="12" t="str">
        <f t="shared" si="35"/>
        <v>Good</v>
      </c>
    </row>
    <row r="527" spans="1:17">
      <c r="A527" s="11" t="s">
        <v>768</v>
      </c>
      <c r="B527" s="11" t="s">
        <v>231</v>
      </c>
      <c r="C527" s="11" t="s">
        <v>19</v>
      </c>
      <c r="D527" s="11">
        <v>22</v>
      </c>
      <c r="E527" s="11" t="s">
        <v>48</v>
      </c>
      <c r="F527" s="11" t="s">
        <v>105</v>
      </c>
      <c r="G527" s="11">
        <v>87</v>
      </c>
      <c r="H527" s="11">
        <v>4.6</v>
      </c>
      <c r="I527" s="11">
        <v>60</v>
      </c>
      <c r="J527" s="11">
        <v>63</v>
      </c>
      <c r="K527" s="11">
        <v>69</v>
      </c>
      <c r="L527" s="11">
        <v>74</v>
      </c>
      <c r="M527" s="11">
        <v>78</v>
      </c>
      <c r="N527" s="12">
        <f t="shared" si="32"/>
        <v>344</v>
      </c>
      <c r="O527" s="13">
        <f t="shared" si="33"/>
        <v>68.8</v>
      </c>
      <c r="P527" s="12" t="str">
        <f t="shared" si="34"/>
        <v>Improvement</v>
      </c>
      <c r="Q527" s="12" t="str">
        <f t="shared" si="35"/>
        <v>Good</v>
      </c>
    </row>
    <row r="528" spans="1:17">
      <c r="A528" s="11" t="s">
        <v>769</v>
      </c>
      <c r="B528" s="11" t="s">
        <v>770</v>
      </c>
      <c r="C528" s="11" t="s">
        <v>30</v>
      </c>
      <c r="D528" s="11">
        <v>18</v>
      </c>
      <c r="E528" s="11" t="s">
        <v>38</v>
      </c>
      <c r="F528" s="11" t="s">
        <v>52</v>
      </c>
      <c r="G528" s="11">
        <v>74</v>
      </c>
      <c r="H528" s="11">
        <v>4.2</v>
      </c>
      <c r="I528" s="11">
        <v>57</v>
      </c>
      <c r="J528" s="11">
        <v>61</v>
      </c>
      <c r="K528" s="11">
        <v>31</v>
      </c>
      <c r="L528" s="11">
        <v>77</v>
      </c>
      <c r="M528" s="11">
        <v>63</v>
      </c>
      <c r="N528" s="12">
        <f t="shared" si="32"/>
        <v>289</v>
      </c>
      <c r="O528" s="13">
        <f t="shared" si="33"/>
        <v>57.8</v>
      </c>
      <c r="P528" s="12" t="str">
        <f t="shared" si="34"/>
        <v>Improvement</v>
      </c>
      <c r="Q528" s="12" t="str">
        <f t="shared" si="35"/>
        <v>Bad</v>
      </c>
    </row>
    <row r="529" spans="1:17">
      <c r="A529" s="11" t="s">
        <v>771</v>
      </c>
      <c r="B529" s="11" t="s">
        <v>383</v>
      </c>
      <c r="C529" s="11" t="s">
        <v>30</v>
      </c>
      <c r="D529" s="11">
        <v>20</v>
      </c>
      <c r="E529" s="11" t="s">
        <v>48</v>
      </c>
      <c r="F529" s="11" t="s">
        <v>39</v>
      </c>
      <c r="G529" s="11">
        <v>83</v>
      </c>
      <c r="H529" s="11">
        <v>3.1</v>
      </c>
      <c r="I529" s="11">
        <v>72</v>
      </c>
      <c r="J529" s="11">
        <v>74</v>
      </c>
      <c r="K529" s="11">
        <v>83</v>
      </c>
      <c r="L529" s="11">
        <v>78</v>
      </c>
      <c r="M529" s="11">
        <v>73</v>
      </c>
      <c r="N529" s="12">
        <f t="shared" si="32"/>
        <v>380</v>
      </c>
      <c r="O529" s="13">
        <f t="shared" si="33"/>
        <v>76</v>
      </c>
      <c r="P529" s="12" t="str">
        <f t="shared" si="34"/>
        <v>Improvement</v>
      </c>
      <c r="Q529" s="12" t="str">
        <f t="shared" si="35"/>
        <v>Good</v>
      </c>
    </row>
    <row r="530" spans="1:17">
      <c r="A530" s="11" t="s">
        <v>772</v>
      </c>
      <c r="B530" s="11" t="s">
        <v>773</v>
      </c>
      <c r="C530" s="11" t="s">
        <v>30</v>
      </c>
      <c r="D530" s="11">
        <v>20</v>
      </c>
      <c r="E530" s="11" t="s">
        <v>38</v>
      </c>
      <c r="F530" s="11" t="s">
        <v>64</v>
      </c>
      <c r="G530" s="11">
        <v>83</v>
      </c>
      <c r="H530" s="11">
        <v>4.1</v>
      </c>
      <c r="I530" s="11">
        <v>70</v>
      </c>
      <c r="J530" s="11">
        <v>73</v>
      </c>
      <c r="K530" s="11">
        <v>63</v>
      </c>
      <c r="L530" s="11">
        <v>65</v>
      </c>
      <c r="M530" s="11">
        <v>71</v>
      </c>
      <c r="N530" s="12">
        <f t="shared" si="32"/>
        <v>342</v>
      </c>
      <c r="O530" s="13">
        <f t="shared" si="33"/>
        <v>68.4</v>
      </c>
      <c r="P530" s="12" t="str">
        <f t="shared" si="34"/>
        <v>Improvement</v>
      </c>
      <c r="Q530" s="12" t="str">
        <f t="shared" si="35"/>
        <v>Good</v>
      </c>
    </row>
    <row r="531" spans="1:17">
      <c r="A531" s="11" t="s">
        <v>774</v>
      </c>
      <c r="B531" s="11" t="s">
        <v>389</v>
      </c>
      <c r="C531" s="11" t="s">
        <v>30</v>
      </c>
      <c r="D531" s="11">
        <v>22</v>
      </c>
      <c r="E531" s="11" t="s">
        <v>48</v>
      </c>
      <c r="F531" s="11" t="s">
        <v>105</v>
      </c>
      <c r="G531" s="11">
        <v>73</v>
      </c>
      <c r="H531" s="11">
        <v>2.7</v>
      </c>
      <c r="I531" s="11">
        <v>76</v>
      </c>
      <c r="J531" s="11">
        <v>68</v>
      </c>
      <c r="K531" s="11">
        <v>64</v>
      </c>
      <c r="L531" s="11">
        <v>76</v>
      </c>
      <c r="M531" s="11">
        <v>60</v>
      </c>
      <c r="N531" s="12">
        <f t="shared" si="32"/>
        <v>344</v>
      </c>
      <c r="O531" s="13">
        <f t="shared" si="33"/>
        <v>68.8</v>
      </c>
      <c r="P531" s="12" t="str">
        <f t="shared" si="34"/>
        <v>Improvement</v>
      </c>
      <c r="Q531" s="12" t="str">
        <f t="shared" si="35"/>
        <v>Good</v>
      </c>
    </row>
    <row r="532" spans="1:17">
      <c r="A532" s="11" t="s">
        <v>775</v>
      </c>
      <c r="B532" s="11" t="s">
        <v>163</v>
      </c>
      <c r="C532" s="11" t="s">
        <v>30</v>
      </c>
      <c r="D532" s="11">
        <v>18</v>
      </c>
      <c r="E532" s="11" t="s">
        <v>34</v>
      </c>
      <c r="F532" s="11" t="s">
        <v>105</v>
      </c>
      <c r="G532" s="11">
        <v>83</v>
      </c>
      <c r="H532" s="11">
        <v>2.6</v>
      </c>
      <c r="I532" s="11">
        <v>59</v>
      </c>
      <c r="J532" s="11">
        <v>51</v>
      </c>
      <c r="K532" s="11">
        <v>68</v>
      </c>
      <c r="L532" s="11">
        <v>71</v>
      </c>
      <c r="M532" s="11">
        <v>60</v>
      </c>
      <c r="N532" s="12">
        <f t="shared" si="32"/>
        <v>309</v>
      </c>
      <c r="O532" s="13">
        <f t="shared" si="33"/>
        <v>61.8</v>
      </c>
      <c r="P532" s="12" t="str">
        <f t="shared" si="34"/>
        <v>Improvement</v>
      </c>
      <c r="Q532" s="12" t="str">
        <f t="shared" si="35"/>
        <v>Good</v>
      </c>
    </row>
    <row r="533" spans="1:17">
      <c r="A533" s="11" t="s">
        <v>776</v>
      </c>
      <c r="B533" s="11" t="s">
        <v>68</v>
      </c>
      <c r="C533" s="11" t="s">
        <v>19</v>
      </c>
      <c r="D533" s="11">
        <v>20</v>
      </c>
      <c r="E533" s="11" t="s">
        <v>38</v>
      </c>
      <c r="F533" s="11" t="s">
        <v>105</v>
      </c>
      <c r="G533" s="11">
        <v>76</v>
      </c>
      <c r="H533" s="11">
        <v>2.3</v>
      </c>
      <c r="I533" s="11">
        <v>74</v>
      </c>
      <c r="J533" s="11">
        <v>75</v>
      </c>
      <c r="K533" s="11">
        <v>77</v>
      </c>
      <c r="L533" s="11">
        <v>76</v>
      </c>
      <c r="M533" s="11">
        <v>67</v>
      </c>
      <c r="N533" s="12">
        <f t="shared" si="32"/>
        <v>369</v>
      </c>
      <c r="O533" s="13">
        <f t="shared" si="33"/>
        <v>73.8</v>
      </c>
      <c r="P533" s="12" t="str">
        <f t="shared" si="34"/>
        <v>Improvement</v>
      </c>
      <c r="Q533" s="12" t="str">
        <f t="shared" si="35"/>
        <v>Good</v>
      </c>
    </row>
    <row r="534" spans="1:17">
      <c r="A534" s="11" t="s">
        <v>777</v>
      </c>
      <c r="B534" s="11" t="s">
        <v>702</v>
      </c>
      <c r="C534" s="11" t="s">
        <v>30</v>
      </c>
      <c r="D534" s="11">
        <v>22</v>
      </c>
      <c r="E534" s="11" t="s">
        <v>24</v>
      </c>
      <c r="F534" s="11" t="s">
        <v>64</v>
      </c>
      <c r="G534" s="11">
        <v>85</v>
      </c>
      <c r="H534" s="11">
        <v>3.2</v>
      </c>
      <c r="I534" s="11">
        <v>54</v>
      </c>
      <c r="J534" s="11">
        <v>52</v>
      </c>
      <c r="K534" s="11">
        <v>38</v>
      </c>
      <c r="L534" s="11">
        <v>57</v>
      </c>
      <c r="M534" s="11">
        <v>61</v>
      </c>
      <c r="N534" s="12">
        <f t="shared" si="32"/>
        <v>262</v>
      </c>
      <c r="O534" s="13">
        <f t="shared" si="33"/>
        <v>52.4</v>
      </c>
      <c r="P534" s="12" t="str">
        <f t="shared" si="34"/>
        <v>Improvement</v>
      </c>
      <c r="Q534" s="12" t="str">
        <f t="shared" si="35"/>
        <v>Bad</v>
      </c>
    </row>
    <row r="535" spans="1:17">
      <c r="A535" s="11" t="s">
        <v>778</v>
      </c>
      <c r="B535" s="11" t="s">
        <v>779</v>
      </c>
      <c r="C535" s="11" t="s">
        <v>19</v>
      </c>
      <c r="D535" s="11">
        <v>18</v>
      </c>
      <c r="E535" s="11" t="s">
        <v>48</v>
      </c>
      <c r="F535" s="11" t="s">
        <v>105</v>
      </c>
      <c r="G535" s="11">
        <v>72</v>
      </c>
      <c r="H535" s="11">
        <v>4.1</v>
      </c>
      <c r="I535" s="11">
        <v>58</v>
      </c>
      <c r="J535" s="11">
        <v>63</v>
      </c>
      <c r="K535" s="11">
        <v>49</v>
      </c>
      <c r="L535" s="11">
        <v>72</v>
      </c>
      <c r="M535" s="11">
        <v>58</v>
      </c>
      <c r="N535" s="12">
        <f t="shared" si="32"/>
        <v>300</v>
      </c>
      <c r="O535" s="13">
        <f t="shared" si="33"/>
        <v>60</v>
      </c>
      <c r="P535" s="12" t="str">
        <f t="shared" si="34"/>
        <v>Improvement</v>
      </c>
      <c r="Q535" s="12" t="str">
        <f t="shared" si="35"/>
        <v>Good</v>
      </c>
    </row>
    <row r="536" spans="1:17">
      <c r="A536" s="11" t="s">
        <v>780</v>
      </c>
      <c r="B536" s="11" t="s">
        <v>438</v>
      </c>
      <c r="C536" s="11" t="s">
        <v>30</v>
      </c>
      <c r="D536" s="11">
        <v>22</v>
      </c>
      <c r="E536" s="11" t="s">
        <v>20</v>
      </c>
      <c r="F536" s="11" t="s">
        <v>31</v>
      </c>
      <c r="G536" s="11">
        <v>79</v>
      </c>
      <c r="H536" s="11">
        <v>3.8</v>
      </c>
      <c r="I536" s="11">
        <v>78</v>
      </c>
      <c r="J536" s="11">
        <v>73</v>
      </c>
      <c r="K536" s="11">
        <v>75</v>
      </c>
      <c r="L536" s="11">
        <v>79</v>
      </c>
      <c r="M536" s="11">
        <v>71</v>
      </c>
      <c r="N536" s="12">
        <f t="shared" si="32"/>
        <v>376</v>
      </c>
      <c r="O536" s="13">
        <f t="shared" si="33"/>
        <v>75.2</v>
      </c>
      <c r="P536" s="12" t="str">
        <f t="shared" si="34"/>
        <v>Improvement</v>
      </c>
      <c r="Q536" s="12" t="str">
        <f t="shared" si="35"/>
        <v>Good</v>
      </c>
    </row>
    <row r="537" spans="1:17">
      <c r="A537" s="11" t="s">
        <v>781</v>
      </c>
      <c r="B537" s="11" t="s">
        <v>244</v>
      </c>
      <c r="C537" s="11" t="s">
        <v>19</v>
      </c>
      <c r="D537" s="11">
        <v>22</v>
      </c>
      <c r="E537" s="11" t="s">
        <v>27</v>
      </c>
      <c r="F537" s="11" t="s">
        <v>44</v>
      </c>
      <c r="G537" s="11">
        <v>87</v>
      </c>
      <c r="H537" s="11">
        <v>1.6</v>
      </c>
      <c r="I537" s="11">
        <v>48</v>
      </c>
      <c r="J537" s="11">
        <v>57</v>
      </c>
      <c r="K537" s="11">
        <v>50</v>
      </c>
      <c r="L537" s="11">
        <v>60</v>
      </c>
      <c r="M537" s="11">
        <v>61</v>
      </c>
      <c r="N537" s="12">
        <f t="shared" si="32"/>
        <v>276</v>
      </c>
      <c r="O537" s="13">
        <f t="shared" si="33"/>
        <v>55.2</v>
      </c>
      <c r="P537" s="12" t="str">
        <f t="shared" si="34"/>
        <v>Improvement</v>
      </c>
      <c r="Q537" s="12" t="str">
        <f t="shared" si="35"/>
        <v>Bad</v>
      </c>
    </row>
    <row r="538" spans="1:17">
      <c r="A538" s="11" t="s">
        <v>782</v>
      </c>
      <c r="B538" s="11" t="s">
        <v>191</v>
      </c>
      <c r="C538" s="11" t="s">
        <v>19</v>
      </c>
      <c r="D538" s="11">
        <v>20</v>
      </c>
      <c r="E538" s="11" t="s">
        <v>48</v>
      </c>
      <c r="F538" s="11" t="s">
        <v>44</v>
      </c>
      <c r="G538" s="11">
        <v>86</v>
      </c>
      <c r="H538" s="11">
        <v>2.9</v>
      </c>
      <c r="I538" s="11">
        <v>48</v>
      </c>
      <c r="J538" s="11">
        <v>61</v>
      </c>
      <c r="K538" s="11">
        <v>54</v>
      </c>
      <c r="L538" s="11">
        <v>66</v>
      </c>
      <c r="M538" s="11">
        <v>51</v>
      </c>
      <c r="N538" s="12">
        <f t="shared" si="32"/>
        <v>280</v>
      </c>
      <c r="O538" s="13">
        <f t="shared" si="33"/>
        <v>56</v>
      </c>
      <c r="P538" s="12" t="str">
        <f t="shared" si="34"/>
        <v>Improvement</v>
      </c>
      <c r="Q538" s="12" t="str">
        <f t="shared" si="35"/>
        <v>Bad</v>
      </c>
    </row>
    <row r="539" spans="1:17">
      <c r="A539" s="11" t="s">
        <v>783</v>
      </c>
      <c r="B539" s="11" t="s">
        <v>758</v>
      </c>
      <c r="C539" s="11" t="s">
        <v>30</v>
      </c>
      <c r="D539" s="11">
        <v>18</v>
      </c>
      <c r="E539" s="11" t="s">
        <v>38</v>
      </c>
      <c r="F539" s="11" t="s">
        <v>35</v>
      </c>
      <c r="G539" s="11">
        <v>70</v>
      </c>
      <c r="H539" s="11">
        <v>5.5</v>
      </c>
      <c r="I539" s="11">
        <v>60</v>
      </c>
      <c r="J539" s="11">
        <v>75</v>
      </c>
      <c r="K539" s="11">
        <v>74</v>
      </c>
      <c r="L539" s="11">
        <v>74</v>
      </c>
      <c r="M539" s="11">
        <v>62</v>
      </c>
      <c r="N539" s="12">
        <f t="shared" si="32"/>
        <v>345</v>
      </c>
      <c r="O539" s="13">
        <f t="shared" si="33"/>
        <v>69</v>
      </c>
      <c r="P539" s="12" t="str">
        <f t="shared" si="34"/>
        <v>Improvement</v>
      </c>
      <c r="Q539" s="12" t="str">
        <f t="shared" si="35"/>
        <v>Good</v>
      </c>
    </row>
    <row r="540" spans="1:17">
      <c r="A540" s="11" t="s">
        <v>784</v>
      </c>
      <c r="B540" s="11" t="s">
        <v>227</v>
      </c>
      <c r="C540" s="11" t="s">
        <v>30</v>
      </c>
      <c r="D540" s="11">
        <v>18</v>
      </c>
      <c r="E540" s="11" t="s">
        <v>27</v>
      </c>
      <c r="F540" s="11" t="s">
        <v>21</v>
      </c>
      <c r="G540" s="11">
        <v>95</v>
      </c>
      <c r="H540" s="11">
        <v>4.4</v>
      </c>
      <c r="I540" s="11">
        <v>91</v>
      </c>
      <c r="J540" s="11">
        <v>81</v>
      </c>
      <c r="K540" s="11">
        <v>90</v>
      </c>
      <c r="L540" s="11">
        <v>97</v>
      </c>
      <c r="M540" s="11">
        <v>98</v>
      </c>
      <c r="N540" s="12">
        <f t="shared" si="32"/>
        <v>457</v>
      </c>
      <c r="O540" s="13">
        <f t="shared" si="33"/>
        <v>91.4</v>
      </c>
      <c r="P540" s="12" t="str">
        <f t="shared" si="34"/>
        <v>TopPerformer</v>
      </c>
      <c r="Q540" s="12" t="str">
        <f t="shared" si="35"/>
        <v>Excellent</v>
      </c>
    </row>
    <row r="541" spans="1:17">
      <c r="A541" s="11" t="s">
        <v>785</v>
      </c>
      <c r="B541" s="11" t="s">
        <v>256</v>
      </c>
      <c r="C541" s="11" t="s">
        <v>30</v>
      </c>
      <c r="D541" s="11">
        <v>20</v>
      </c>
      <c r="E541" s="11" t="s">
        <v>27</v>
      </c>
      <c r="F541" s="11" t="s">
        <v>52</v>
      </c>
      <c r="G541" s="11">
        <v>87</v>
      </c>
      <c r="H541" s="11">
        <v>6.3</v>
      </c>
      <c r="I541" s="11">
        <v>82</v>
      </c>
      <c r="J541" s="11">
        <v>79</v>
      </c>
      <c r="K541" s="11">
        <v>76</v>
      </c>
      <c r="L541" s="11">
        <v>77</v>
      </c>
      <c r="M541" s="11">
        <v>79</v>
      </c>
      <c r="N541" s="12">
        <f t="shared" si="32"/>
        <v>393</v>
      </c>
      <c r="O541" s="13">
        <f t="shared" si="33"/>
        <v>78.6</v>
      </c>
      <c r="P541" s="12" t="str">
        <f t="shared" si="34"/>
        <v>Improvement</v>
      </c>
      <c r="Q541" s="12" t="str">
        <f t="shared" si="35"/>
        <v>Good</v>
      </c>
    </row>
    <row r="542" spans="1:17">
      <c r="A542" s="11" t="s">
        <v>786</v>
      </c>
      <c r="B542" s="11" t="s">
        <v>210</v>
      </c>
      <c r="C542" s="11" t="s">
        <v>30</v>
      </c>
      <c r="D542" s="11">
        <v>20</v>
      </c>
      <c r="E542" s="11" t="s">
        <v>34</v>
      </c>
      <c r="F542" s="11" t="s">
        <v>64</v>
      </c>
      <c r="G542" s="11">
        <v>74</v>
      </c>
      <c r="H542" s="11">
        <v>4.9</v>
      </c>
      <c r="I542" s="11">
        <v>89</v>
      </c>
      <c r="J542" s="11">
        <v>78</v>
      </c>
      <c r="K542" s="11">
        <v>81</v>
      </c>
      <c r="L542" s="11">
        <v>75</v>
      </c>
      <c r="M542" s="11">
        <v>81</v>
      </c>
      <c r="N542" s="12">
        <f t="shared" si="32"/>
        <v>404</v>
      </c>
      <c r="O542" s="13">
        <f t="shared" si="33"/>
        <v>80.8</v>
      </c>
      <c r="P542" s="12" t="str">
        <f t="shared" si="34"/>
        <v>TopPerformer</v>
      </c>
      <c r="Q542" s="12" t="str">
        <f t="shared" si="35"/>
        <v>Excellent</v>
      </c>
    </row>
    <row r="543" spans="1:17">
      <c r="A543" s="11" t="s">
        <v>787</v>
      </c>
      <c r="B543" s="11" t="s">
        <v>299</v>
      </c>
      <c r="C543" s="11" t="s">
        <v>19</v>
      </c>
      <c r="D543" s="11">
        <v>21</v>
      </c>
      <c r="E543" s="11" t="s">
        <v>27</v>
      </c>
      <c r="F543" s="11" t="s">
        <v>35</v>
      </c>
      <c r="G543" s="11">
        <v>86</v>
      </c>
      <c r="H543" s="11">
        <v>3.4</v>
      </c>
      <c r="I543" s="11">
        <v>75</v>
      </c>
      <c r="J543" s="11">
        <v>84</v>
      </c>
      <c r="K543" s="11">
        <v>52</v>
      </c>
      <c r="L543" s="11">
        <v>52</v>
      </c>
      <c r="M543" s="11">
        <v>54</v>
      </c>
      <c r="N543" s="12">
        <f t="shared" si="32"/>
        <v>317</v>
      </c>
      <c r="O543" s="13">
        <f t="shared" si="33"/>
        <v>63.4</v>
      </c>
      <c r="P543" s="12" t="str">
        <f t="shared" si="34"/>
        <v>Improvement</v>
      </c>
      <c r="Q543" s="12" t="str">
        <f t="shared" si="35"/>
        <v>Good</v>
      </c>
    </row>
    <row r="544" spans="1:17">
      <c r="A544" s="11" t="s">
        <v>788</v>
      </c>
      <c r="B544" s="11" t="s">
        <v>725</v>
      </c>
      <c r="C544" s="11" t="s">
        <v>30</v>
      </c>
      <c r="D544" s="11">
        <v>18</v>
      </c>
      <c r="E544" s="11" t="s">
        <v>27</v>
      </c>
      <c r="F544" s="11" t="s">
        <v>39</v>
      </c>
      <c r="G544" s="11">
        <v>83</v>
      </c>
      <c r="H544" s="11">
        <v>4.6</v>
      </c>
      <c r="I544" s="11">
        <v>61</v>
      </c>
      <c r="J544" s="11">
        <v>63</v>
      </c>
      <c r="K544" s="11">
        <v>50</v>
      </c>
      <c r="L544" s="11">
        <v>54</v>
      </c>
      <c r="M544" s="11">
        <v>54</v>
      </c>
      <c r="N544" s="12">
        <f t="shared" si="32"/>
        <v>282</v>
      </c>
      <c r="O544" s="13">
        <f t="shared" si="33"/>
        <v>56.4</v>
      </c>
      <c r="P544" s="12" t="str">
        <f t="shared" si="34"/>
        <v>Improvement</v>
      </c>
      <c r="Q544" s="12" t="str">
        <f t="shared" si="35"/>
        <v>Bad</v>
      </c>
    </row>
    <row r="545" spans="1:17">
      <c r="A545" s="11" t="s">
        <v>789</v>
      </c>
      <c r="B545" s="11" t="s">
        <v>790</v>
      </c>
      <c r="C545" s="11" t="s">
        <v>19</v>
      </c>
      <c r="D545" s="11">
        <v>18</v>
      </c>
      <c r="E545" s="11" t="s">
        <v>38</v>
      </c>
      <c r="F545" s="11" t="s">
        <v>64</v>
      </c>
      <c r="G545" s="11">
        <v>65</v>
      </c>
      <c r="H545" s="11">
        <v>1.6</v>
      </c>
      <c r="I545" s="11">
        <v>34</v>
      </c>
      <c r="J545" s="11">
        <v>66</v>
      </c>
      <c r="K545" s="11">
        <v>42</v>
      </c>
      <c r="L545" s="11">
        <v>63</v>
      </c>
      <c r="M545" s="11">
        <v>49</v>
      </c>
      <c r="N545" s="12">
        <f t="shared" si="32"/>
        <v>254</v>
      </c>
      <c r="O545" s="13">
        <f t="shared" si="33"/>
        <v>50.8</v>
      </c>
      <c r="P545" s="12" t="str">
        <f t="shared" si="34"/>
        <v>Improvement</v>
      </c>
      <c r="Q545" s="12" t="str">
        <f t="shared" si="35"/>
        <v>Bad</v>
      </c>
    </row>
    <row r="546" spans="1:17">
      <c r="A546" s="11" t="s">
        <v>791</v>
      </c>
      <c r="B546" s="11" t="s">
        <v>199</v>
      </c>
      <c r="C546" s="11" t="s">
        <v>19</v>
      </c>
      <c r="D546" s="11">
        <v>18</v>
      </c>
      <c r="E546" s="11" t="s">
        <v>24</v>
      </c>
      <c r="F546" s="11" t="s">
        <v>64</v>
      </c>
      <c r="G546" s="11">
        <v>88</v>
      </c>
      <c r="H546" s="11">
        <v>1.1</v>
      </c>
      <c r="I546" s="11">
        <v>56</v>
      </c>
      <c r="J546" s="11">
        <v>59</v>
      </c>
      <c r="K546" s="11">
        <v>50</v>
      </c>
      <c r="L546" s="11">
        <v>64</v>
      </c>
      <c r="M546" s="11">
        <v>46</v>
      </c>
      <c r="N546" s="12">
        <f t="shared" si="32"/>
        <v>275</v>
      </c>
      <c r="O546" s="13">
        <f t="shared" si="33"/>
        <v>55</v>
      </c>
      <c r="P546" s="12" t="str">
        <f t="shared" si="34"/>
        <v>Improvement</v>
      </c>
      <c r="Q546" s="12" t="str">
        <f t="shared" si="35"/>
        <v>Bad</v>
      </c>
    </row>
    <row r="547" spans="1:17">
      <c r="A547" s="11" t="s">
        <v>792</v>
      </c>
      <c r="B547" s="11" t="s">
        <v>561</v>
      </c>
      <c r="C547" s="11" t="s">
        <v>19</v>
      </c>
      <c r="D547" s="11">
        <v>22</v>
      </c>
      <c r="E547" s="11" t="s">
        <v>20</v>
      </c>
      <c r="F547" s="11" t="s">
        <v>52</v>
      </c>
      <c r="G547" s="11">
        <v>96</v>
      </c>
      <c r="H547" s="11">
        <v>3.7</v>
      </c>
      <c r="I547" s="11">
        <v>90</v>
      </c>
      <c r="J547" s="11">
        <v>74</v>
      </c>
      <c r="K547" s="11">
        <v>80</v>
      </c>
      <c r="L547" s="11">
        <v>81</v>
      </c>
      <c r="M547" s="11">
        <v>92</v>
      </c>
      <c r="N547" s="12">
        <f t="shared" si="32"/>
        <v>417</v>
      </c>
      <c r="O547" s="13">
        <f t="shared" si="33"/>
        <v>83.4</v>
      </c>
      <c r="P547" s="12" t="str">
        <f t="shared" si="34"/>
        <v>TopPerformer</v>
      </c>
      <c r="Q547" s="12" t="str">
        <f t="shared" si="35"/>
        <v>Excellent</v>
      </c>
    </row>
    <row r="548" spans="1:17">
      <c r="A548" s="11" t="s">
        <v>793</v>
      </c>
      <c r="B548" s="11" t="s">
        <v>142</v>
      </c>
      <c r="C548" s="11" t="s">
        <v>30</v>
      </c>
      <c r="D548" s="11">
        <v>20</v>
      </c>
      <c r="E548" s="11" t="s">
        <v>48</v>
      </c>
      <c r="F548" s="11" t="s">
        <v>44</v>
      </c>
      <c r="G548" s="11">
        <v>81</v>
      </c>
      <c r="H548" s="11">
        <v>5.8</v>
      </c>
      <c r="I548" s="11">
        <v>69</v>
      </c>
      <c r="J548" s="11">
        <v>68</v>
      </c>
      <c r="K548" s="11">
        <v>68</v>
      </c>
      <c r="L548" s="11">
        <v>61</v>
      </c>
      <c r="M548" s="11">
        <v>66</v>
      </c>
      <c r="N548" s="12">
        <f t="shared" si="32"/>
        <v>332</v>
      </c>
      <c r="O548" s="13">
        <f t="shared" si="33"/>
        <v>66.4</v>
      </c>
      <c r="P548" s="12" t="str">
        <f t="shared" si="34"/>
        <v>Improvement</v>
      </c>
      <c r="Q548" s="12" t="str">
        <f t="shared" si="35"/>
        <v>Good</v>
      </c>
    </row>
    <row r="549" spans="1:17">
      <c r="A549" s="11" t="s">
        <v>794</v>
      </c>
      <c r="B549" s="11" t="s">
        <v>163</v>
      </c>
      <c r="C549" s="11" t="s">
        <v>19</v>
      </c>
      <c r="D549" s="11">
        <v>22</v>
      </c>
      <c r="E549" s="11" t="s">
        <v>34</v>
      </c>
      <c r="F549" s="11" t="s">
        <v>39</v>
      </c>
      <c r="G549" s="11">
        <v>88</v>
      </c>
      <c r="H549" s="11">
        <v>1</v>
      </c>
      <c r="I549" s="11">
        <v>57</v>
      </c>
      <c r="J549" s="11">
        <v>54</v>
      </c>
      <c r="K549" s="11">
        <v>60</v>
      </c>
      <c r="L549" s="11">
        <v>54</v>
      </c>
      <c r="M549" s="11">
        <v>41</v>
      </c>
      <c r="N549" s="12">
        <f t="shared" si="32"/>
        <v>266</v>
      </c>
      <c r="O549" s="13">
        <f t="shared" si="33"/>
        <v>53.2</v>
      </c>
      <c r="P549" s="12" t="str">
        <f t="shared" si="34"/>
        <v>Improvement</v>
      </c>
      <c r="Q549" s="12" t="str">
        <f t="shared" si="35"/>
        <v>Bad</v>
      </c>
    </row>
    <row r="550" spans="1:17">
      <c r="A550" s="11" t="s">
        <v>795</v>
      </c>
      <c r="B550" s="11" t="s">
        <v>773</v>
      </c>
      <c r="C550" s="11" t="s">
        <v>19</v>
      </c>
      <c r="D550" s="11">
        <v>22</v>
      </c>
      <c r="E550" s="11" t="s">
        <v>34</v>
      </c>
      <c r="F550" s="11" t="s">
        <v>31</v>
      </c>
      <c r="G550" s="11">
        <v>73</v>
      </c>
      <c r="H550" s="11">
        <v>1.6</v>
      </c>
      <c r="I550" s="11">
        <v>68</v>
      </c>
      <c r="J550" s="11">
        <v>57</v>
      </c>
      <c r="K550" s="11">
        <v>44</v>
      </c>
      <c r="L550" s="11">
        <v>57</v>
      </c>
      <c r="M550" s="11">
        <v>55</v>
      </c>
      <c r="N550" s="12">
        <f t="shared" si="32"/>
        <v>281</v>
      </c>
      <c r="O550" s="13">
        <f t="shared" si="33"/>
        <v>56.2</v>
      </c>
      <c r="P550" s="12" t="str">
        <f t="shared" si="34"/>
        <v>Improvement</v>
      </c>
      <c r="Q550" s="12" t="str">
        <f t="shared" si="35"/>
        <v>Bad</v>
      </c>
    </row>
    <row r="551" spans="1:17">
      <c r="A551" s="11" t="s">
        <v>796</v>
      </c>
      <c r="B551" s="11" t="s">
        <v>310</v>
      </c>
      <c r="C551" s="11" t="s">
        <v>30</v>
      </c>
      <c r="D551" s="11">
        <v>22</v>
      </c>
      <c r="E551" s="11" t="s">
        <v>27</v>
      </c>
      <c r="F551" s="11" t="s">
        <v>35</v>
      </c>
      <c r="G551" s="11">
        <v>86</v>
      </c>
      <c r="H551" s="11">
        <v>2.3</v>
      </c>
      <c r="I551" s="11">
        <v>48</v>
      </c>
      <c r="J551" s="11">
        <v>52</v>
      </c>
      <c r="K551" s="11">
        <v>36</v>
      </c>
      <c r="L551" s="11">
        <v>55</v>
      </c>
      <c r="M551" s="11">
        <v>55</v>
      </c>
      <c r="N551" s="12">
        <f t="shared" si="32"/>
        <v>246</v>
      </c>
      <c r="O551" s="13">
        <f t="shared" si="33"/>
        <v>49.2</v>
      </c>
      <c r="P551" s="12" t="str">
        <f t="shared" si="34"/>
        <v>Improvement</v>
      </c>
      <c r="Q551" s="12" t="str">
        <f t="shared" si="35"/>
        <v>Bad</v>
      </c>
    </row>
    <row r="552" spans="1:17">
      <c r="A552" s="11" t="s">
        <v>797</v>
      </c>
      <c r="B552" s="11" t="s">
        <v>152</v>
      </c>
      <c r="C552" s="11" t="s">
        <v>19</v>
      </c>
      <c r="D552" s="11">
        <v>18</v>
      </c>
      <c r="E552" s="11" t="s">
        <v>27</v>
      </c>
      <c r="F552" s="11" t="s">
        <v>35</v>
      </c>
      <c r="G552" s="11">
        <v>91</v>
      </c>
      <c r="H552" s="11">
        <v>1.5</v>
      </c>
      <c r="I552" s="11">
        <v>63</v>
      </c>
      <c r="J552" s="11">
        <v>64</v>
      </c>
      <c r="K552" s="11">
        <v>51</v>
      </c>
      <c r="L552" s="11">
        <v>63</v>
      </c>
      <c r="M552" s="11">
        <v>69</v>
      </c>
      <c r="N552" s="12">
        <f t="shared" si="32"/>
        <v>310</v>
      </c>
      <c r="O552" s="13">
        <f t="shared" si="33"/>
        <v>62</v>
      </c>
      <c r="P552" s="12" t="str">
        <f t="shared" si="34"/>
        <v>Improvement</v>
      </c>
      <c r="Q552" s="12" t="str">
        <f t="shared" si="35"/>
        <v>Good</v>
      </c>
    </row>
    <row r="553" spans="1:17">
      <c r="A553" s="11" t="s">
        <v>798</v>
      </c>
      <c r="B553" s="11" t="s">
        <v>256</v>
      </c>
      <c r="C553" s="11" t="s">
        <v>30</v>
      </c>
      <c r="D553" s="11">
        <v>20</v>
      </c>
      <c r="E553" s="11" t="s">
        <v>20</v>
      </c>
      <c r="F553" s="11" t="s">
        <v>44</v>
      </c>
      <c r="G553" s="11">
        <v>76</v>
      </c>
      <c r="H553" s="11">
        <v>5.1</v>
      </c>
      <c r="I553" s="11">
        <v>55</v>
      </c>
      <c r="J553" s="11">
        <v>66</v>
      </c>
      <c r="K553" s="11">
        <v>64</v>
      </c>
      <c r="L553" s="11">
        <v>56</v>
      </c>
      <c r="M553" s="11">
        <v>50</v>
      </c>
      <c r="N553" s="12">
        <f t="shared" si="32"/>
        <v>291</v>
      </c>
      <c r="O553" s="13">
        <f t="shared" si="33"/>
        <v>58.2</v>
      </c>
      <c r="P553" s="12" t="str">
        <f t="shared" si="34"/>
        <v>Improvement</v>
      </c>
      <c r="Q553" s="12" t="str">
        <f t="shared" si="35"/>
        <v>Bad</v>
      </c>
    </row>
    <row r="554" spans="1:17">
      <c r="A554" s="11" t="s">
        <v>799</v>
      </c>
      <c r="B554" s="11" t="s">
        <v>268</v>
      </c>
      <c r="C554" s="11" t="s">
        <v>30</v>
      </c>
      <c r="D554" s="11">
        <v>21</v>
      </c>
      <c r="E554" s="11" t="s">
        <v>48</v>
      </c>
      <c r="F554" s="11" t="s">
        <v>35</v>
      </c>
      <c r="G554" s="11">
        <v>74</v>
      </c>
      <c r="H554" s="11">
        <v>4.9</v>
      </c>
      <c r="I554" s="11">
        <v>81</v>
      </c>
      <c r="J554" s="11">
        <v>71</v>
      </c>
      <c r="K554" s="11">
        <v>71</v>
      </c>
      <c r="L554" s="11">
        <v>88</v>
      </c>
      <c r="M554" s="11">
        <v>81</v>
      </c>
      <c r="N554" s="12">
        <f t="shared" si="32"/>
        <v>392</v>
      </c>
      <c r="O554" s="13">
        <f t="shared" si="33"/>
        <v>78.4</v>
      </c>
      <c r="P554" s="12" t="str">
        <f t="shared" si="34"/>
        <v>Improvement</v>
      </c>
      <c r="Q554" s="12" t="str">
        <f t="shared" si="35"/>
        <v>Good</v>
      </c>
    </row>
    <row r="555" spans="1:17">
      <c r="A555" s="11" t="s">
        <v>800</v>
      </c>
      <c r="B555" s="11" t="s">
        <v>619</v>
      </c>
      <c r="C555" s="11" t="s">
        <v>30</v>
      </c>
      <c r="D555" s="11">
        <v>21</v>
      </c>
      <c r="E555" s="11" t="s">
        <v>20</v>
      </c>
      <c r="F555" s="11" t="s">
        <v>39</v>
      </c>
      <c r="G555" s="11">
        <v>80</v>
      </c>
      <c r="H555" s="11">
        <v>2.7</v>
      </c>
      <c r="I555" s="11">
        <v>47</v>
      </c>
      <c r="J555" s="11">
        <v>73</v>
      </c>
      <c r="K555" s="11">
        <v>56</v>
      </c>
      <c r="L555" s="11">
        <v>62</v>
      </c>
      <c r="M555" s="11">
        <v>52</v>
      </c>
      <c r="N555" s="12">
        <f t="shared" si="32"/>
        <v>290</v>
      </c>
      <c r="O555" s="13">
        <f t="shared" si="33"/>
        <v>58</v>
      </c>
      <c r="P555" s="12" t="str">
        <f t="shared" si="34"/>
        <v>Improvement</v>
      </c>
      <c r="Q555" s="12" t="str">
        <f t="shared" si="35"/>
        <v>Bad</v>
      </c>
    </row>
    <row r="556" spans="1:17">
      <c r="A556" s="11" t="s">
        <v>801</v>
      </c>
      <c r="B556" s="11" t="s">
        <v>51</v>
      </c>
      <c r="C556" s="11" t="s">
        <v>30</v>
      </c>
      <c r="D556" s="11">
        <v>18</v>
      </c>
      <c r="E556" s="11" t="s">
        <v>20</v>
      </c>
      <c r="F556" s="11" t="s">
        <v>105</v>
      </c>
      <c r="G556" s="11">
        <v>77</v>
      </c>
      <c r="H556" s="11">
        <v>2.5</v>
      </c>
      <c r="I556" s="11">
        <v>63</v>
      </c>
      <c r="J556" s="11">
        <v>72</v>
      </c>
      <c r="K556" s="11">
        <v>62</v>
      </c>
      <c r="L556" s="11">
        <v>64</v>
      </c>
      <c r="M556" s="11">
        <v>65</v>
      </c>
      <c r="N556" s="12">
        <f t="shared" si="32"/>
        <v>326</v>
      </c>
      <c r="O556" s="13">
        <f t="shared" si="33"/>
        <v>65.2</v>
      </c>
      <c r="P556" s="12" t="str">
        <f t="shared" si="34"/>
        <v>Improvement</v>
      </c>
      <c r="Q556" s="12" t="str">
        <f t="shared" si="35"/>
        <v>Good</v>
      </c>
    </row>
    <row r="557" spans="1:17">
      <c r="A557" s="11" t="s">
        <v>802</v>
      </c>
      <c r="B557" s="11" t="s">
        <v>619</v>
      </c>
      <c r="C557" s="11" t="s">
        <v>19</v>
      </c>
      <c r="D557" s="11">
        <v>20</v>
      </c>
      <c r="E557" s="11" t="s">
        <v>20</v>
      </c>
      <c r="F557" s="11" t="s">
        <v>44</v>
      </c>
      <c r="G557" s="11">
        <v>70</v>
      </c>
      <c r="H557" s="11">
        <v>5</v>
      </c>
      <c r="I557" s="11">
        <v>69</v>
      </c>
      <c r="J557" s="11">
        <v>48</v>
      </c>
      <c r="K557" s="11">
        <v>85</v>
      </c>
      <c r="L557" s="11">
        <v>61</v>
      </c>
      <c r="M557" s="11">
        <v>85</v>
      </c>
      <c r="N557" s="12">
        <f t="shared" si="32"/>
        <v>348</v>
      </c>
      <c r="O557" s="13">
        <f t="shared" si="33"/>
        <v>69.6</v>
      </c>
      <c r="P557" s="12" t="str">
        <f t="shared" si="34"/>
        <v>Improvement</v>
      </c>
      <c r="Q557" s="12" t="str">
        <f t="shared" si="35"/>
        <v>Good</v>
      </c>
    </row>
    <row r="558" spans="1:17">
      <c r="A558" s="11" t="s">
        <v>803</v>
      </c>
      <c r="B558" s="11" t="s">
        <v>197</v>
      </c>
      <c r="C558" s="11" t="s">
        <v>19</v>
      </c>
      <c r="D558" s="11">
        <v>22</v>
      </c>
      <c r="E558" s="11" t="s">
        <v>27</v>
      </c>
      <c r="F558" s="11" t="s">
        <v>44</v>
      </c>
      <c r="G558" s="11">
        <v>85</v>
      </c>
      <c r="H558" s="11">
        <v>2.1</v>
      </c>
      <c r="I558" s="11">
        <v>40</v>
      </c>
      <c r="J558" s="11">
        <v>57</v>
      </c>
      <c r="K558" s="11">
        <v>56</v>
      </c>
      <c r="L558" s="11">
        <v>65</v>
      </c>
      <c r="M558" s="11">
        <v>45</v>
      </c>
      <c r="N558" s="12">
        <f t="shared" si="32"/>
        <v>263</v>
      </c>
      <c r="O558" s="13">
        <f t="shared" si="33"/>
        <v>52.6</v>
      </c>
      <c r="P558" s="12" t="str">
        <f t="shared" si="34"/>
        <v>Improvement</v>
      </c>
      <c r="Q558" s="12" t="str">
        <f t="shared" si="35"/>
        <v>Bad</v>
      </c>
    </row>
    <row r="559" spans="1:17">
      <c r="A559" s="11" t="s">
        <v>804</v>
      </c>
      <c r="B559" s="11" t="s">
        <v>805</v>
      </c>
      <c r="C559" s="11" t="s">
        <v>30</v>
      </c>
      <c r="D559" s="11">
        <v>20</v>
      </c>
      <c r="E559" s="11" t="s">
        <v>34</v>
      </c>
      <c r="F559" s="11" t="s">
        <v>39</v>
      </c>
      <c r="G559" s="11">
        <v>77</v>
      </c>
      <c r="H559" s="11">
        <v>4.5</v>
      </c>
      <c r="I559" s="11">
        <v>81</v>
      </c>
      <c r="J559" s="11">
        <v>66</v>
      </c>
      <c r="K559" s="11">
        <v>81</v>
      </c>
      <c r="L559" s="11">
        <v>73</v>
      </c>
      <c r="M559" s="11">
        <v>70</v>
      </c>
      <c r="N559" s="12">
        <f t="shared" si="32"/>
        <v>371</v>
      </c>
      <c r="O559" s="13">
        <f t="shared" si="33"/>
        <v>74.2</v>
      </c>
      <c r="P559" s="12" t="str">
        <f t="shared" si="34"/>
        <v>Improvement</v>
      </c>
      <c r="Q559" s="12" t="str">
        <f t="shared" si="35"/>
        <v>Good</v>
      </c>
    </row>
    <row r="560" spans="1:17">
      <c r="A560" s="11" t="s">
        <v>806</v>
      </c>
      <c r="B560" s="11" t="s">
        <v>404</v>
      </c>
      <c r="C560" s="11" t="s">
        <v>19</v>
      </c>
      <c r="D560" s="11">
        <v>19</v>
      </c>
      <c r="E560" s="11" t="s">
        <v>20</v>
      </c>
      <c r="F560" s="11" t="s">
        <v>105</v>
      </c>
      <c r="G560" s="11">
        <v>84</v>
      </c>
      <c r="H560" s="11">
        <v>4.1</v>
      </c>
      <c r="I560" s="11">
        <v>84</v>
      </c>
      <c r="J560" s="11">
        <v>74</v>
      </c>
      <c r="K560" s="11">
        <v>58</v>
      </c>
      <c r="L560" s="11">
        <v>62</v>
      </c>
      <c r="M560" s="11">
        <v>62</v>
      </c>
      <c r="N560" s="12">
        <f t="shared" si="32"/>
        <v>340</v>
      </c>
      <c r="O560" s="13">
        <f t="shared" si="33"/>
        <v>68</v>
      </c>
      <c r="P560" s="12" t="str">
        <f t="shared" si="34"/>
        <v>Improvement</v>
      </c>
      <c r="Q560" s="12" t="str">
        <f t="shared" si="35"/>
        <v>Good</v>
      </c>
    </row>
    <row r="561" spans="1:17">
      <c r="A561" s="11" t="s">
        <v>807</v>
      </c>
      <c r="B561" s="11" t="s">
        <v>85</v>
      </c>
      <c r="C561" s="11" t="s">
        <v>30</v>
      </c>
      <c r="D561" s="11">
        <v>21</v>
      </c>
      <c r="E561" s="11" t="s">
        <v>48</v>
      </c>
      <c r="F561" s="11" t="s">
        <v>44</v>
      </c>
      <c r="G561" s="11">
        <v>95</v>
      </c>
      <c r="H561" s="11">
        <v>1.8</v>
      </c>
      <c r="I561" s="11">
        <v>47</v>
      </c>
      <c r="J561" s="11">
        <v>48</v>
      </c>
      <c r="K561" s="11">
        <v>67</v>
      </c>
      <c r="L561" s="11">
        <v>59</v>
      </c>
      <c r="M561" s="11">
        <v>59</v>
      </c>
      <c r="N561" s="12">
        <f t="shared" si="32"/>
        <v>280</v>
      </c>
      <c r="O561" s="13">
        <f t="shared" si="33"/>
        <v>56</v>
      </c>
      <c r="P561" s="12" t="str">
        <f t="shared" si="34"/>
        <v>Improvement</v>
      </c>
      <c r="Q561" s="12" t="str">
        <f t="shared" si="35"/>
        <v>Bad</v>
      </c>
    </row>
    <row r="562" spans="1:17">
      <c r="A562" s="11" t="s">
        <v>808</v>
      </c>
      <c r="B562" s="11" t="s">
        <v>295</v>
      </c>
      <c r="C562" s="11" t="s">
        <v>30</v>
      </c>
      <c r="D562" s="11">
        <v>19</v>
      </c>
      <c r="E562" s="11" t="s">
        <v>38</v>
      </c>
      <c r="F562" s="11" t="s">
        <v>35</v>
      </c>
      <c r="G562" s="11">
        <v>89</v>
      </c>
      <c r="H562" s="11">
        <v>4.5</v>
      </c>
      <c r="I562" s="11">
        <v>76</v>
      </c>
      <c r="J562" s="11">
        <v>76</v>
      </c>
      <c r="K562" s="11">
        <v>79</v>
      </c>
      <c r="L562" s="11">
        <v>85</v>
      </c>
      <c r="M562" s="11">
        <v>66</v>
      </c>
      <c r="N562" s="12">
        <f t="shared" si="32"/>
        <v>382</v>
      </c>
      <c r="O562" s="13">
        <f t="shared" si="33"/>
        <v>76.4</v>
      </c>
      <c r="P562" s="12" t="str">
        <f t="shared" si="34"/>
        <v>Improvement</v>
      </c>
      <c r="Q562" s="12" t="str">
        <f t="shared" si="35"/>
        <v>Good</v>
      </c>
    </row>
    <row r="563" spans="1:17">
      <c r="A563" s="11" t="s">
        <v>809</v>
      </c>
      <c r="B563" s="11" t="s">
        <v>283</v>
      </c>
      <c r="C563" s="11" t="s">
        <v>19</v>
      </c>
      <c r="D563" s="11">
        <v>19</v>
      </c>
      <c r="E563" s="11" t="s">
        <v>24</v>
      </c>
      <c r="F563" s="11" t="s">
        <v>52</v>
      </c>
      <c r="G563" s="11">
        <v>63</v>
      </c>
      <c r="H563" s="11">
        <v>3.6</v>
      </c>
      <c r="I563" s="11">
        <v>83</v>
      </c>
      <c r="J563" s="11">
        <v>72</v>
      </c>
      <c r="K563" s="11">
        <v>85</v>
      </c>
      <c r="L563" s="11">
        <v>69</v>
      </c>
      <c r="M563" s="11">
        <v>77</v>
      </c>
      <c r="N563" s="12">
        <f t="shared" si="32"/>
        <v>386</v>
      </c>
      <c r="O563" s="13">
        <f t="shared" si="33"/>
        <v>77.2</v>
      </c>
      <c r="P563" s="12" t="str">
        <f t="shared" si="34"/>
        <v>Improvement</v>
      </c>
      <c r="Q563" s="12" t="str">
        <f t="shared" si="35"/>
        <v>Good</v>
      </c>
    </row>
    <row r="564" spans="1:17">
      <c r="A564" s="11" t="s">
        <v>810</v>
      </c>
      <c r="B564" s="11" t="s">
        <v>68</v>
      </c>
      <c r="C564" s="11" t="s">
        <v>19</v>
      </c>
      <c r="D564" s="11">
        <v>21</v>
      </c>
      <c r="E564" s="11" t="s">
        <v>24</v>
      </c>
      <c r="F564" s="11" t="s">
        <v>105</v>
      </c>
      <c r="G564" s="11">
        <v>63</v>
      </c>
      <c r="H564" s="11">
        <v>5.7</v>
      </c>
      <c r="I564" s="11">
        <v>57</v>
      </c>
      <c r="J564" s="11">
        <v>54</v>
      </c>
      <c r="K564" s="11">
        <v>62</v>
      </c>
      <c r="L564" s="11">
        <v>77</v>
      </c>
      <c r="M564" s="11">
        <v>80</v>
      </c>
      <c r="N564" s="12">
        <f t="shared" si="32"/>
        <v>330</v>
      </c>
      <c r="O564" s="13">
        <f t="shared" si="33"/>
        <v>66</v>
      </c>
      <c r="P564" s="12" t="str">
        <f t="shared" si="34"/>
        <v>Improvement</v>
      </c>
      <c r="Q564" s="12" t="str">
        <f t="shared" si="35"/>
        <v>Good</v>
      </c>
    </row>
    <row r="565" spans="1:17">
      <c r="A565" s="11" t="s">
        <v>811</v>
      </c>
      <c r="B565" s="11" t="s">
        <v>758</v>
      </c>
      <c r="C565" s="11" t="s">
        <v>19</v>
      </c>
      <c r="D565" s="11">
        <v>19</v>
      </c>
      <c r="E565" s="11" t="s">
        <v>38</v>
      </c>
      <c r="F565" s="11" t="s">
        <v>21</v>
      </c>
      <c r="G565" s="11">
        <v>90</v>
      </c>
      <c r="H565" s="11">
        <v>4.2</v>
      </c>
      <c r="I565" s="11">
        <v>64</v>
      </c>
      <c r="J565" s="11">
        <v>59</v>
      </c>
      <c r="K565" s="11">
        <v>76</v>
      </c>
      <c r="L565" s="11">
        <v>68</v>
      </c>
      <c r="M565" s="11">
        <v>69</v>
      </c>
      <c r="N565" s="12">
        <f t="shared" si="32"/>
        <v>336</v>
      </c>
      <c r="O565" s="13">
        <f t="shared" si="33"/>
        <v>67.2</v>
      </c>
      <c r="P565" s="12" t="str">
        <f t="shared" si="34"/>
        <v>Improvement</v>
      </c>
      <c r="Q565" s="12" t="str">
        <f t="shared" si="35"/>
        <v>Good</v>
      </c>
    </row>
    <row r="566" spans="1:17">
      <c r="A566" s="11" t="s">
        <v>812</v>
      </c>
      <c r="B566" s="11" t="s">
        <v>323</v>
      </c>
      <c r="C566" s="11" t="s">
        <v>30</v>
      </c>
      <c r="D566" s="11">
        <v>21</v>
      </c>
      <c r="E566" s="11" t="s">
        <v>20</v>
      </c>
      <c r="F566" s="11" t="s">
        <v>21</v>
      </c>
      <c r="G566" s="11">
        <v>93</v>
      </c>
      <c r="H566" s="11">
        <v>1</v>
      </c>
      <c r="I566" s="11">
        <v>44</v>
      </c>
      <c r="J566" s="11">
        <v>67</v>
      </c>
      <c r="K566" s="11">
        <v>55</v>
      </c>
      <c r="L566" s="11">
        <v>47</v>
      </c>
      <c r="M566" s="11">
        <v>54</v>
      </c>
      <c r="N566" s="12">
        <f t="shared" si="32"/>
        <v>267</v>
      </c>
      <c r="O566" s="13">
        <f t="shared" si="33"/>
        <v>53.4</v>
      </c>
      <c r="P566" s="12" t="str">
        <f t="shared" si="34"/>
        <v>Improvement</v>
      </c>
      <c r="Q566" s="12" t="str">
        <f t="shared" si="35"/>
        <v>Bad</v>
      </c>
    </row>
    <row r="567" spans="1:17">
      <c r="A567" s="11" t="s">
        <v>813</v>
      </c>
      <c r="B567" s="11" t="s">
        <v>201</v>
      </c>
      <c r="C567" s="11" t="s">
        <v>19</v>
      </c>
      <c r="D567" s="11">
        <v>22</v>
      </c>
      <c r="E567" s="11" t="s">
        <v>48</v>
      </c>
      <c r="F567" s="11" t="s">
        <v>44</v>
      </c>
      <c r="G567" s="11">
        <v>89</v>
      </c>
      <c r="H567" s="11">
        <v>1</v>
      </c>
      <c r="I567" s="11">
        <v>60</v>
      </c>
      <c r="J567" s="11">
        <v>40</v>
      </c>
      <c r="K567" s="11">
        <v>54</v>
      </c>
      <c r="L567" s="11">
        <v>52</v>
      </c>
      <c r="M567" s="11">
        <v>66</v>
      </c>
      <c r="N567" s="12">
        <f t="shared" si="32"/>
        <v>272</v>
      </c>
      <c r="O567" s="13">
        <f t="shared" si="33"/>
        <v>54.4</v>
      </c>
      <c r="P567" s="12" t="str">
        <f t="shared" si="34"/>
        <v>Improvement</v>
      </c>
      <c r="Q567" s="12" t="str">
        <f t="shared" si="35"/>
        <v>Bad</v>
      </c>
    </row>
    <row r="568" spans="1:17">
      <c r="A568" s="11" t="s">
        <v>814</v>
      </c>
      <c r="B568" s="11" t="s">
        <v>369</v>
      </c>
      <c r="C568" s="11" t="s">
        <v>19</v>
      </c>
      <c r="D568" s="11">
        <v>22</v>
      </c>
      <c r="E568" s="11" t="s">
        <v>24</v>
      </c>
      <c r="F568" s="11" t="s">
        <v>52</v>
      </c>
      <c r="G568" s="11">
        <v>70</v>
      </c>
      <c r="H568" s="11">
        <v>3.5</v>
      </c>
      <c r="I568" s="11">
        <v>56</v>
      </c>
      <c r="J568" s="11">
        <v>64</v>
      </c>
      <c r="K568" s="11">
        <v>62</v>
      </c>
      <c r="L568" s="11">
        <v>51</v>
      </c>
      <c r="M568" s="11">
        <v>58</v>
      </c>
      <c r="N568" s="12">
        <f t="shared" si="32"/>
        <v>291</v>
      </c>
      <c r="O568" s="13">
        <f t="shared" si="33"/>
        <v>58.2</v>
      </c>
      <c r="P568" s="12" t="str">
        <f t="shared" si="34"/>
        <v>Improvement</v>
      </c>
      <c r="Q568" s="12" t="str">
        <f t="shared" si="35"/>
        <v>Bad</v>
      </c>
    </row>
    <row r="569" spans="1:17">
      <c r="A569" s="11" t="s">
        <v>815</v>
      </c>
      <c r="B569" s="11" t="s">
        <v>79</v>
      </c>
      <c r="C569" s="11" t="s">
        <v>30</v>
      </c>
      <c r="D569" s="11">
        <v>18</v>
      </c>
      <c r="E569" s="11" t="s">
        <v>20</v>
      </c>
      <c r="F569" s="11" t="s">
        <v>35</v>
      </c>
      <c r="G569" s="11">
        <v>80</v>
      </c>
      <c r="H569" s="11">
        <v>3.7</v>
      </c>
      <c r="I569" s="11">
        <v>63</v>
      </c>
      <c r="J569" s="11">
        <v>46</v>
      </c>
      <c r="K569" s="11">
        <v>60</v>
      </c>
      <c r="L569" s="11">
        <v>47</v>
      </c>
      <c r="M569" s="11">
        <v>47</v>
      </c>
      <c r="N569" s="12">
        <f t="shared" si="32"/>
        <v>263</v>
      </c>
      <c r="O569" s="13">
        <f t="shared" si="33"/>
        <v>52.6</v>
      </c>
      <c r="P569" s="12" t="str">
        <f t="shared" si="34"/>
        <v>Improvement</v>
      </c>
      <c r="Q569" s="12" t="str">
        <f t="shared" si="35"/>
        <v>Bad</v>
      </c>
    </row>
    <row r="570" spans="1:17">
      <c r="A570" s="11" t="s">
        <v>816</v>
      </c>
      <c r="B570" s="11" t="s">
        <v>260</v>
      </c>
      <c r="C570" s="11" t="s">
        <v>19</v>
      </c>
      <c r="D570" s="11">
        <v>22</v>
      </c>
      <c r="E570" s="11" t="s">
        <v>48</v>
      </c>
      <c r="F570" s="11" t="s">
        <v>105</v>
      </c>
      <c r="G570" s="11">
        <v>88</v>
      </c>
      <c r="H570" s="11">
        <v>3.4</v>
      </c>
      <c r="I570" s="11">
        <v>59</v>
      </c>
      <c r="J570" s="11">
        <v>71</v>
      </c>
      <c r="K570" s="11">
        <v>58</v>
      </c>
      <c r="L570" s="11">
        <v>76</v>
      </c>
      <c r="M570" s="11">
        <v>61</v>
      </c>
      <c r="N570" s="12">
        <f t="shared" si="32"/>
        <v>325</v>
      </c>
      <c r="O570" s="13">
        <f t="shared" si="33"/>
        <v>65</v>
      </c>
      <c r="P570" s="12" t="str">
        <f t="shared" si="34"/>
        <v>Improvement</v>
      </c>
      <c r="Q570" s="12" t="str">
        <f t="shared" si="35"/>
        <v>Good</v>
      </c>
    </row>
    <row r="571" spans="1:17">
      <c r="A571" s="11" t="s">
        <v>817</v>
      </c>
      <c r="B571" s="11" t="s">
        <v>18</v>
      </c>
      <c r="C571" s="11" t="s">
        <v>19</v>
      </c>
      <c r="D571" s="11">
        <v>18</v>
      </c>
      <c r="E571" s="11" t="s">
        <v>34</v>
      </c>
      <c r="F571" s="11" t="s">
        <v>52</v>
      </c>
      <c r="G571" s="11">
        <v>79</v>
      </c>
      <c r="H571" s="11">
        <v>3.8</v>
      </c>
      <c r="I571" s="11">
        <v>65</v>
      </c>
      <c r="J571" s="11">
        <v>69</v>
      </c>
      <c r="K571" s="11">
        <v>70</v>
      </c>
      <c r="L571" s="11">
        <v>77</v>
      </c>
      <c r="M571" s="11">
        <v>69</v>
      </c>
      <c r="N571" s="12">
        <f t="shared" si="32"/>
        <v>350</v>
      </c>
      <c r="O571" s="13">
        <f t="shared" si="33"/>
        <v>70</v>
      </c>
      <c r="P571" s="12" t="str">
        <f t="shared" si="34"/>
        <v>Improvement</v>
      </c>
      <c r="Q571" s="12" t="str">
        <f t="shared" si="35"/>
        <v>Good</v>
      </c>
    </row>
    <row r="572" spans="1:17">
      <c r="A572" s="11" t="s">
        <v>818</v>
      </c>
      <c r="B572" s="11" t="s">
        <v>695</v>
      </c>
      <c r="C572" s="11" t="s">
        <v>19</v>
      </c>
      <c r="D572" s="11">
        <v>20</v>
      </c>
      <c r="E572" s="11" t="s">
        <v>48</v>
      </c>
      <c r="F572" s="11" t="s">
        <v>21</v>
      </c>
      <c r="G572" s="11">
        <v>80</v>
      </c>
      <c r="H572" s="11">
        <v>1.8</v>
      </c>
      <c r="I572" s="11">
        <v>44</v>
      </c>
      <c r="J572" s="11">
        <v>58</v>
      </c>
      <c r="K572" s="11">
        <v>48</v>
      </c>
      <c r="L572" s="11">
        <v>45</v>
      </c>
      <c r="M572" s="11">
        <v>58</v>
      </c>
      <c r="N572" s="12">
        <f t="shared" si="32"/>
        <v>253</v>
      </c>
      <c r="O572" s="13">
        <f t="shared" si="33"/>
        <v>50.6</v>
      </c>
      <c r="P572" s="12" t="str">
        <f t="shared" si="34"/>
        <v>Improvement</v>
      </c>
      <c r="Q572" s="12" t="str">
        <f t="shared" si="35"/>
        <v>Bad</v>
      </c>
    </row>
    <row r="573" spans="1:17">
      <c r="A573" s="11" t="s">
        <v>819</v>
      </c>
      <c r="B573" s="11" t="s">
        <v>112</v>
      </c>
      <c r="C573" s="11" t="s">
        <v>19</v>
      </c>
      <c r="D573" s="11">
        <v>18</v>
      </c>
      <c r="E573" s="11" t="s">
        <v>27</v>
      </c>
      <c r="F573" s="11" t="s">
        <v>31</v>
      </c>
      <c r="G573" s="11">
        <v>77</v>
      </c>
      <c r="H573" s="11">
        <v>6.5</v>
      </c>
      <c r="I573" s="11">
        <v>73</v>
      </c>
      <c r="J573" s="11">
        <v>81</v>
      </c>
      <c r="K573" s="11">
        <v>84</v>
      </c>
      <c r="L573" s="11">
        <v>71</v>
      </c>
      <c r="M573" s="11">
        <v>77</v>
      </c>
      <c r="N573" s="12">
        <f t="shared" si="32"/>
        <v>386</v>
      </c>
      <c r="O573" s="13">
        <f t="shared" si="33"/>
        <v>77.2</v>
      </c>
      <c r="P573" s="12" t="str">
        <f t="shared" si="34"/>
        <v>Improvement</v>
      </c>
      <c r="Q573" s="12" t="str">
        <f t="shared" si="35"/>
        <v>Good</v>
      </c>
    </row>
    <row r="574" spans="1:17">
      <c r="A574" s="11" t="s">
        <v>820</v>
      </c>
      <c r="B574" s="11" t="s">
        <v>702</v>
      </c>
      <c r="C574" s="11" t="s">
        <v>19</v>
      </c>
      <c r="D574" s="11">
        <v>18</v>
      </c>
      <c r="E574" s="11" t="s">
        <v>34</v>
      </c>
      <c r="F574" s="11" t="s">
        <v>52</v>
      </c>
      <c r="G574" s="11">
        <v>71</v>
      </c>
      <c r="H574" s="11">
        <v>2.3</v>
      </c>
      <c r="I574" s="11">
        <v>56</v>
      </c>
      <c r="J574" s="11">
        <v>49</v>
      </c>
      <c r="K574" s="11">
        <v>47</v>
      </c>
      <c r="L574" s="11">
        <v>52</v>
      </c>
      <c r="M574" s="11">
        <v>43</v>
      </c>
      <c r="N574" s="12">
        <f t="shared" si="32"/>
        <v>247</v>
      </c>
      <c r="O574" s="13">
        <f t="shared" si="33"/>
        <v>49.4</v>
      </c>
      <c r="P574" s="12" t="str">
        <f t="shared" si="34"/>
        <v>Improvement</v>
      </c>
      <c r="Q574" s="12" t="str">
        <f t="shared" si="35"/>
        <v>Bad</v>
      </c>
    </row>
    <row r="575" spans="1:17">
      <c r="A575" s="11" t="s">
        <v>821</v>
      </c>
      <c r="B575" s="11" t="s">
        <v>205</v>
      </c>
      <c r="C575" s="11" t="s">
        <v>19</v>
      </c>
      <c r="D575" s="11">
        <v>22</v>
      </c>
      <c r="E575" s="11" t="s">
        <v>20</v>
      </c>
      <c r="F575" s="11" t="s">
        <v>31</v>
      </c>
      <c r="G575" s="11">
        <v>80</v>
      </c>
      <c r="H575" s="11">
        <v>4.4</v>
      </c>
      <c r="I575" s="11">
        <v>56</v>
      </c>
      <c r="J575" s="11">
        <v>77</v>
      </c>
      <c r="K575" s="11">
        <v>51</v>
      </c>
      <c r="L575" s="11">
        <v>51</v>
      </c>
      <c r="M575" s="11">
        <v>58</v>
      </c>
      <c r="N575" s="12">
        <f t="shared" si="32"/>
        <v>293</v>
      </c>
      <c r="O575" s="13">
        <f t="shared" si="33"/>
        <v>58.6</v>
      </c>
      <c r="P575" s="12" t="str">
        <f t="shared" si="34"/>
        <v>Improvement</v>
      </c>
      <c r="Q575" s="12" t="str">
        <f t="shared" si="35"/>
        <v>Bad</v>
      </c>
    </row>
    <row r="576" spans="1:17">
      <c r="A576" s="11" t="s">
        <v>822</v>
      </c>
      <c r="B576" s="11" t="s">
        <v>422</v>
      </c>
      <c r="C576" s="11" t="s">
        <v>30</v>
      </c>
      <c r="D576" s="11">
        <v>21</v>
      </c>
      <c r="E576" s="11" t="s">
        <v>24</v>
      </c>
      <c r="F576" s="11" t="s">
        <v>44</v>
      </c>
      <c r="G576" s="11">
        <v>87</v>
      </c>
      <c r="H576" s="11">
        <v>7.7</v>
      </c>
      <c r="I576" s="11">
        <v>76</v>
      </c>
      <c r="J576" s="11">
        <v>88</v>
      </c>
      <c r="K576" s="11">
        <v>75</v>
      </c>
      <c r="L576" s="11">
        <v>95</v>
      </c>
      <c r="M576" s="11">
        <v>78</v>
      </c>
      <c r="N576" s="12">
        <f t="shared" si="32"/>
        <v>412</v>
      </c>
      <c r="O576" s="13">
        <f t="shared" si="33"/>
        <v>82.4</v>
      </c>
      <c r="P576" s="12" t="str">
        <f t="shared" si="34"/>
        <v>TopPerformer</v>
      </c>
      <c r="Q576" s="12" t="str">
        <f t="shared" si="35"/>
        <v>Excellent</v>
      </c>
    </row>
    <row r="577" spans="1:17">
      <c r="A577" s="11" t="s">
        <v>823</v>
      </c>
      <c r="B577" s="11" t="s">
        <v>312</v>
      </c>
      <c r="C577" s="11" t="s">
        <v>19</v>
      </c>
      <c r="D577" s="11">
        <v>18</v>
      </c>
      <c r="E577" s="11" t="s">
        <v>34</v>
      </c>
      <c r="F577" s="11" t="s">
        <v>105</v>
      </c>
      <c r="G577" s="11">
        <v>95</v>
      </c>
      <c r="H577" s="11">
        <v>4</v>
      </c>
      <c r="I577" s="11">
        <v>55</v>
      </c>
      <c r="J577" s="11">
        <v>49</v>
      </c>
      <c r="K577" s="11">
        <v>54</v>
      </c>
      <c r="L577" s="11">
        <v>65</v>
      </c>
      <c r="M577" s="11">
        <v>72</v>
      </c>
      <c r="N577" s="12">
        <f t="shared" si="32"/>
        <v>295</v>
      </c>
      <c r="O577" s="13">
        <f t="shared" si="33"/>
        <v>59</v>
      </c>
      <c r="P577" s="12" t="str">
        <f t="shared" si="34"/>
        <v>Improvement</v>
      </c>
      <c r="Q577" s="12" t="str">
        <f t="shared" si="35"/>
        <v>Bad</v>
      </c>
    </row>
    <row r="578" spans="1:17">
      <c r="A578" s="11" t="s">
        <v>824</v>
      </c>
      <c r="B578" s="11" t="s">
        <v>353</v>
      </c>
      <c r="C578" s="11" t="s">
        <v>30</v>
      </c>
      <c r="D578" s="11">
        <v>19</v>
      </c>
      <c r="E578" s="11" t="s">
        <v>48</v>
      </c>
      <c r="F578" s="11" t="s">
        <v>35</v>
      </c>
      <c r="G578" s="11">
        <v>79</v>
      </c>
      <c r="H578" s="11">
        <v>2.2</v>
      </c>
      <c r="I578" s="11">
        <v>81</v>
      </c>
      <c r="J578" s="11">
        <v>50</v>
      </c>
      <c r="K578" s="11">
        <v>61</v>
      </c>
      <c r="L578" s="11">
        <v>74</v>
      </c>
      <c r="M578" s="11">
        <v>53</v>
      </c>
      <c r="N578" s="12">
        <f>SUM(I578:M578)</f>
        <v>319</v>
      </c>
      <c r="O578" s="13">
        <f>AVERAGE(N578/5)</f>
        <v>63.8</v>
      </c>
      <c r="P578" s="12" t="str">
        <f>IF(N578&gt;=400,"TopPerformer","Improvement")</f>
        <v>Improvement</v>
      </c>
      <c r="Q578" s="12" t="str">
        <f>IF(N578&gt;=400,"Excellent",IF(N578&gt;=300,"Good",IF(N578&gt;=200,"Bad","Very Bad")))</f>
        <v>Good</v>
      </c>
    </row>
    <row r="579" spans="1:17">
      <c r="A579" s="11" t="s">
        <v>825</v>
      </c>
      <c r="B579" s="11" t="s">
        <v>120</v>
      </c>
      <c r="C579" s="11" t="s">
        <v>30</v>
      </c>
      <c r="D579" s="11">
        <v>18</v>
      </c>
      <c r="E579" s="11" t="s">
        <v>38</v>
      </c>
      <c r="F579" s="11" t="s">
        <v>39</v>
      </c>
      <c r="G579" s="11">
        <v>84</v>
      </c>
      <c r="H579" s="11">
        <v>4.6</v>
      </c>
      <c r="I579" s="11">
        <v>96</v>
      </c>
      <c r="J579" s="11">
        <v>80</v>
      </c>
      <c r="K579" s="11">
        <v>76</v>
      </c>
      <c r="L579" s="11">
        <v>73</v>
      </c>
      <c r="M579" s="11">
        <v>88</v>
      </c>
      <c r="N579" s="12">
        <f>SUM(I579:M579)</f>
        <v>413</v>
      </c>
      <c r="O579" s="13">
        <f>AVERAGE(N579/5)</f>
        <v>82.6</v>
      </c>
      <c r="P579" s="12" t="str">
        <f>IF(N579&gt;=400,"TopPerformer","Improvement")</f>
        <v>TopPerformer</v>
      </c>
      <c r="Q579" s="12" t="str">
        <f>IF(N579&gt;=400,"Excellent",IF(N579&gt;=300,"Good",IF(N579&gt;=200,"Bad","Very Bad")))</f>
        <v>Excellent</v>
      </c>
    </row>
    <row r="580" spans="1:17">
      <c r="A580" s="11" t="s">
        <v>826</v>
      </c>
      <c r="B580" s="11" t="s">
        <v>827</v>
      </c>
      <c r="C580" s="11" t="s">
        <v>19</v>
      </c>
      <c r="D580" s="11">
        <v>22</v>
      </c>
      <c r="E580" s="11" t="s">
        <v>27</v>
      </c>
      <c r="F580" s="11" t="s">
        <v>105</v>
      </c>
      <c r="G580" s="11">
        <v>77</v>
      </c>
      <c r="H580" s="11">
        <v>4.2</v>
      </c>
      <c r="I580" s="11">
        <v>82</v>
      </c>
      <c r="J580" s="11">
        <v>79</v>
      </c>
      <c r="K580" s="11">
        <v>91</v>
      </c>
      <c r="L580" s="11">
        <v>85</v>
      </c>
      <c r="M580" s="11">
        <v>94</v>
      </c>
      <c r="N580" s="12">
        <f>SUM(I580:M580)</f>
        <v>431</v>
      </c>
      <c r="O580" s="13">
        <f>AVERAGE(N580/5)</f>
        <v>86.2</v>
      </c>
      <c r="P580" s="12" t="str">
        <f>IF(N580&gt;=400,"TopPerformer","Improvement")</f>
        <v>TopPerformer</v>
      </c>
      <c r="Q580" s="12" t="str">
        <f>IF(N580&gt;=400,"Excellent",IF(N580&gt;=300,"Good",IF(N580&gt;=200,"Bad","Very Bad")))</f>
        <v>Excellent</v>
      </c>
    </row>
    <row r="581" spans="1:17">
      <c r="A581" s="11" t="s">
        <v>828</v>
      </c>
      <c r="B581" s="11" t="s">
        <v>829</v>
      </c>
      <c r="C581" s="11" t="s">
        <v>19</v>
      </c>
      <c r="D581" s="11">
        <v>19</v>
      </c>
      <c r="E581" s="11" t="s">
        <v>20</v>
      </c>
      <c r="F581" s="11" t="s">
        <v>44</v>
      </c>
      <c r="G581" s="11">
        <v>67</v>
      </c>
      <c r="H581" s="11">
        <v>1</v>
      </c>
      <c r="I581" s="11">
        <v>41</v>
      </c>
      <c r="J581" s="11">
        <v>62</v>
      </c>
      <c r="K581" s="11">
        <v>53</v>
      </c>
      <c r="L581" s="11">
        <v>50</v>
      </c>
      <c r="M581" s="11">
        <v>46</v>
      </c>
      <c r="N581" s="12">
        <f>SUM(I581:M581)</f>
        <v>252</v>
      </c>
      <c r="O581" s="13">
        <f>AVERAGE(N581/5)</f>
        <v>50.4</v>
      </c>
      <c r="P581" s="12" t="str">
        <f>IF(N581&gt;=400,"TopPerformer","Improvement")</f>
        <v>Improvement</v>
      </c>
      <c r="Q581" s="12" t="str">
        <f>IF(N581&gt;=400,"Excellent",IF(N581&gt;=300,"Good",IF(N581&gt;=200,"Bad","Very Bad")))</f>
        <v>Bad</v>
      </c>
    </row>
    <row r="582" spans="1:17">
      <c r="A582" s="11" t="s">
        <v>830</v>
      </c>
      <c r="B582" s="11" t="s">
        <v>831</v>
      </c>
      <c r="C582" s="11" t="s">
        <v>30</v>
      </c>
      <c r="D582" s="11">
        <v>21</v>
      </c>
      <c r="E582" s="11" t="s">
        <v>38</v>
      </c>
      <c r="F582" s="11" t="s">
        <v>64</v>
      </c>
      <c r="G582" s="11">
        <v>92</v>
      </c>
      <c r="H582" s="11">
        <v>4.3</v>
      </c>
      <c r="I582" s="11">
        <v>72</v>
      </c>
      <c r="J582" s="11">
        <v>67</v>
      </c>
      <c r="K582" s="11">
        <v>70</v>
      </c>
      <c r="L582" s="11">
        <v>60</v>
      </c>
      <c r="M582" s="11">
        <v>83</v>
      </c>
      <c r="N582" s="12">
        <f>SUM(I582:M582)</f>
        <v>352</v>
      </c>
      <c r="O582" s="13">
        <f>AVERAGE(N582/5)</f>
        <v>70.4</v>
      </c>
      <c r="P582" s="12" t="str">
        <f>IF(N582&gt;=400,"TopPerformer","Improvement")</f>
        <v>Improvement</v>
      </c>
      <c r="Q582" s="12" t="str">
        <f>IF(N582&gt;=400,"Excellent",IF(N582&gt;=300,"Good",IF(N582&gt;=200,"Bad","Very Bad")))</f>
        <v>Good</v>
      </c>
    </row>
    <row r="583" spans="1:17">
      <c r="A583" s="11" t="s">
        <v>832</v>
      </c>
      <c r="B583" s="11" t="s">
        <v>188</v>
      </c>
      <c r="C583" s="11" t="s">
        <v>30</v>
      </c>
      <c r="D583" s="11">
        <v>19</v>
      </c>
      <c r="E583" s="11" t="s">
        <v>34</v>
      </c>
      <c r="F583" s="11" t="s">
        <v>105</v>
      </c>
      <c r="G583" s="11">
        <v>89</v>
      </c>
      <c r="H583" s="11">
        <v>4.9</v>
      </c>
      <c r="I583" s="11">
        <v>71</v>
      </c>
      <c r="J583" s="11">
        <v>87</v>
      </c>
      <c r="K583" s="11">
        <v>93</v>
      </c>
      <c r="L583" s="11">
        <v>76</v>
      </c>
      <c r="M583" s="11">
        <v>78</v>
      </c>
      <c r="N583" s="12">
        <f>SUM(I583:M583)</f>
        <v>405</v>
      </c>
      <c r="O583" s="13">
        <f>AVERAGE(N583/5)</f>
        <v>81</v>
      </c>
      <c r="P583" s="12" t="str">
        <f>IF(N583&gt;=400,"TopPerformer","Improvement")</f>
        <v>TopPerformer</v>
      </c>
      <c r="Q583" s="12" t="str">
        <f>IF(N583&gt;=400,"Excellent",IF(N583&gt;=300,"Good",IF(N583&gt;=200,"Bad","Very Bad")))</f>
        <v>Excellent</v>
      </c>
    </row>
    <row r="584" spans="1:17">
      <c r="A584" s="11" t="s">
        <v>833</v>
      </c>
      <c r="B584" s="11" t="s">
        <v>210</v>
      </c>
      <c r="C584" s="11" t="s">
        <v>19</v>
      </c>
      <c r="D584" s="11">
        <v>20</v>
      </c>
      <c r="E584" s="11" t="s">
        <v>34</v>
      </c>
      <c r="F584" s="11" t="s">
        <v>52</v>
      </c>
      <c r="G584" s="11">
        <v>72</v>
      </c>
      <c r="H584" s="11">
        <v>2.4</v>
      </c>
      <c r="I584" s="11">
        <v>73</v>
      </c>
      <c r="J584" s="11">
        <v>85</v>
      </c>
      <c r="K584" s="11">
        <v>64</v>
      </c>
      <c r="L584" s="11">
        <v>69</v>
      </c>
      <c r="M584" s="11">
        <v>62</v>
      </c>
      <c r="N584" s="12">
        <f>SUM(I584:M584)</f>
        <v>353</v>
      </c>
      <c r="O584" s="13">
        <f>AVERAGE(N584/5)</f>
        <v>70.6</v>
      </c>
      <c r="P584" s="12" t="str">
        <f>IF(N584&gt;=400,"TopPerformer","Improvement")</f>
        <v>Improvement</v>
      </c>
      <c r="Q584" s="12" t="str">
        <f>IF(N584&gt;=400,"Excellent",IF(N584&gt;=300,"Good",IF(N584&gt;=200,"Bad","Very Bad")))</f>
        <v>Good</v>
      </c>
    </row>
    <row r="585" spans="1:17">
      <c r="A585" s="11" t="s">
        <v>834</v>
      </c>
      <c r="B585" s="11" t="s">
        <v>461</v>
      </c>
      <c r="C585" s="11" t="s">
        <v>19</v>
      </c>
      <c r="D585" s="11">
        <v>18</v>
      </c>
      <c r="E585" s="11" t="s">
        <v>34</v>
      </c>
      <c r="F585" s="11" t="s">
        <v>52</v>
      </c>
      <c r="G585" s="11">
        <v>84</v>
      </c>
      <c r="H585" s="11">
        <v>3.7</v>
      </c>
      <c r="I585" s="11">
        <v>54</v>
      </c>
      <c r="J585" s="11">
        <v>67</v>
      </c>
      <c r="K585" s="11">
        <v>52</v>
      </c>
      <c r="L585" s="11">
        <v>66</v>
      </c>
      <c r="M585" s="11">
        <v>78</v>
      </c>
      <c r="N585" s="12">
        <f>SUM(I585:M585)</f>
        <v>317</v>
      </c>
      <c r="O585" s="13">
        <f>AVERAGE(N585/5)</f>
        <v>63.4</v>
      </c>
      <c r="P585" s="12" t="str">
        <f>IF(N585&gt;=400,"TopPerformer","Improvement")</f>
        <v>Improvement</v>
      </c>
      <c r="Q585" s="12" t="str">
        <f>IF(N585&gt;=400,"Excellent",IF(N585&gt;=300,"Good",IF(N585&gt;=200,"Bad","Very Bad")))</f>
        <v>Good</v>
      </c>
    </row>
    <row r="586" spans="1:17">
      <c r="A586" s="11" t="s">
        <v>835</v>
      </c>
      <c r="B586" s="11" t="s">
        <v>779</v>
      </c>
      <c r="C586" s="11" t="s">
        <v>19</v>
      </c>
      <c r="D586" s="11">
        <v>22</v>
      </c>
      <c r="E586" s="11" t="s">
        <v>27</v>
      </c>
      <c r="F586" s="11" t="s">
        <v>39</v>
      </c>
      <c r="G586" s="11">
        <v>85</v>
      </c>
      <c r="H586" s="11">
        <v>3.7</v>
      </c>
      <c r="I586" s="11">
        <v>58</v>
      </c>
      <c r="J586" s="11">
        <v>55</v>
      </c>
      <c r="K586" s="11">
        <v>70</v>
      </c>
      <c r="L586" s="11">
        <v>53</v>
      </c>
      <c r="M586" s="11">
        <v>64</v>
      </c>
      <c r="N586" s="12">
        <f>SUM(I586:M586)</f>
        <v>300</v>
      </c>
      <c r="O586" s="13">
        <f>AVERAGE(N586/5)</f>
        <v>60</v>
      </c>
      <c r="P586" s="12" t="str">
        <f>IF(N586&gt;=400,"TopPerformer","Improvement")</f>
        <v>Improvement</v>
      </c>
      <c r="Q586" s="12" t="str">
        <f>IF(N586&gt;=400,"Excellent",IF(N586&gt;=300,"Good",IF(N586&gt;=200,"Bad","Very Bad")))</f>
        <v>Good</v>
      </c>
    </row>
    <row r="587" spans="1:17">
      <c r="A587" s="11" t="s">
        <v>836</v>
      </c>
      <c r="B587" s="11" t="s">
        <v>126</v>
      </c>
      <c r="C587" s="11" t="s">
        <v>19</v>
      </c>
      <c r="D587" s="11">
        <v>20</v>
      </c>
      <c r="E587" s="11" t="s">
        <v>27</v>
      </c>
      <c r="F587" s="11" t="s">
        <v>44</v>
      </c>
      <c r="G587" s="11">
        <v>91</v>
      </c>
      <c r="H587" s="11">
        <v>2.4</v>
      </c>
      <c r="I587" s="11">
        <v>50</v>
      </c>
      <c r="J587" s="11">
        <v>59</v>
      </c>
      <c r="K587" s="11">
        <v>67</v>
      </c>
      <c r="L587" s="11">
        <v>57</v>
      </c>
      <c r="M587" s="11">
        <v>59</v>
      </c>
      <c r="N587" s="12">
        <f>SUM(I587:M587)</f>
        <v>292</v>
      </c>
      <c r="O587" s="13">
        <f>AVERAGE(N587/5)</f>
        <v>58.4</v>
      </c>
      <c r="P587" s="12" t="str">
        <f>IF(N587&gt;=400,"TopPerformer","Improvement")</f>
        <v>Improvement</v>
      </c>
      <c r="Q587" s="12" t="str">
        <f>IF(N587&gt;=400,"Excellent",IF(N587&gt;=300,"Good",IF(N587&gt;=200,"Bad","Very Bad")))</f>
        <v>Bad</v>
      </c>
    </row>
    <row r="588" spans="1:17">
      <c r="A588" s="11" t="s">
        <v>837</v>
      </c>
      <c r="B588" s="11" t="s">
        <v>336</v>
      </c>
      <c r="C588" s="11" t="s">
        <v>19</v>
      </c>
      <c r="D588" s="11">
        <v>19</v>
      </c>
      <c r="E588" s="11" t="s">
        <v>20</v>
      </c>
      <c r="F588" s="11" t="s">
        <v>64</v>
      </c>
      <c r="G588" s="11">
        <v>90</v>
      </c>
      <c r="H588" s="11">
        <v>3.9</v>
      </c>
      <c r="I588" s="11">
        <v>57</v>
      </c>
      <c r="J588" s="11">
        <v>47</v>
      </c>
      <c r="K588" s="11">
        <v>51</v>
      </c>
      <c r="L588" s="11">
        <v>70</v>
      </c>
      <c r="M588" s="11">
        <v>58</v>
      </c>
      <c r="N588" s="12">
        <f>SUM(I588:M588)</f>
        <v>283</v>
      </c>
      <c r="O588" s="13">
        <f>AVERAGE(N588/5)</f>
        <v>56.6</v>
      </c>
      <c r="P588" s="12" t="str">
        <f>IF(N588&gt;=400,"TopPerformer","Improvement")</f>
        <v>Improvement</v>
      </c>
      <c r="Q588" s="12" t="str">
        <f>IF(N588&gt;=400,"Excellent",IF(N588&gt;=300,"Good",IF(N588&gt;=200,"Bad","Very Bad")))</f>
        <v>Bad</v>
      </c>
    </row>
    <row r="589" spans="1:17">
      <c r="A589" s="11" t="s">
        <v>838</v>
      </c>
      <c r="B589" s="11" t="s">
        <v>277</v>
      </c>
      <c r="C589" s="11" t="s">
        <v>19</v>
      </c>
      <c r="D589" s="11">
        <v>20</v>
      </c>
      <c r="E589" s="11" t="s">
        <v>34</v>
      </c>
      <c r="F589" s="11" t="s">
        <v>39</v>
      </c>
      <c r="G589" s="11">
        <v>87</v>
      </c>
      <c r="H589" s="11">
        <v>1</v>
      </c>
      <c r="I589" s="11">
        <v>55</v>
      </c>
      <c r="J589" s="11">
        <v>67</v>
      </c>
      <c r="K589" s="11">
        <v>63</v>
      </c>
      <c r="L589" s="11">
        <v>47</v>
      </c>
      <c r="M589" s="11">
        <v>66</v>
      </c>
      <c r="N589" s="12">
        <f>SUM(I589:M589)</f>
        <v>298</v>
      </c>
      <c r="O589" s="13">
        <f>AVERAGE(N589/5)</f>
        <v>59.6</v>
      </c>
      <c r="P589" s="12" t="str">
        <f>IF(N589&gt;=400,"TopPerformer","Improvement")</f>
        <v>Improvement</v>
      </c>
      <c r="Q589" s="12" t="str">
        <f>IF(N589&gt;=400,"Excellent",IF(N589&gt;=300,"Good",IF(N589&gt;=200,"Bad","Very Bad")))</f>
        <v>Bad</v>
      </c>
    </row>
    <row r="590" spans="1:17">
      <c r="A590" s="11" t="s">
        <v>839</v>
      </c>
      <c r="B590" s="11" t="s">
        <v>280</v>
      </c>
      <c r="C590" s="11" t="s">
        <v>30</v>
      </c>
      <c r="D590" s="11">
        <v>18</v>
      </c>
      <c r="E590" s="11" t="s">
        <v>38</v>
      </c>
      <c r="F590" s="11" t="s">
        <v>44</v>
      </c>
      <c r="G590" s="11">
        <v>80</v>
      </c>
      <c r="H590" s="11">
        <v>6.1</v>
      </c>
      <c r="I590" s="11">
        <v>77</v>
      </c>
      <c r="J590" s="11">
        <v>83</v>
      </c>
      <c r="K590" s="11">
        <v>84</v>
      </c>
      <c r="L590" s="11">
        <v>82</v>
      </c>
      <c r="M590" s="11">
        <v>87</v>
      </c>
      <c r="N590" s="12">
        <f>SUM(I590:M590)</f>
        <v>413</v>
      </c>
      <c r="O590" s="13">
        <f>AVERAGE(N590/5)</f>
        <v>82.6</v>
      </c>
      <c r="P590" s="12" t="str">
        <f>IF(N590&gt;=400,"TopPerformer","Improvement")</f>
        <v>TopPerformer</v>
      </c>
      <c r="Q590" s="12" t="str">
        <f>IF(N590&gt;=400,"Excellent",IF(N590&gt;=300,"Good",IF(N590&gt;=200,"Bad","Very Bad")))</f>
        <v>Excellent</v>
      </c>
    </row>
    <row r="591" spans="1:17">
      <c r="A591" s="11" t="s">
        <v>840</v>
      </c>
      <c r="B591" s="11" t="s">
        <v>630</v>
      </c>
      <c r="C591" s="11" t="s">
        <v>30</v>
      </c>
      <c r="D591" s="11">
        <v>20</v>
      </c>
      <c r="E591" s="11" t="s">
        <v>38</v>
      </c>
      <c r="F591" s="11" t="s">
        <v>35</v>
      </c>
      <c r="G591" s="11">
        <v>81</v>
      </c>
      <c r="H591" s="11">
        <v>3.8</v>
      </c>
      <c r="I591" s="11">
        <v>89</v>
      </c>
      <c r="J591" s="11">
        <v>76</v>
      </c>
      <c r="K591" s="11">
        <v>72</v>
      </c>
      <c r="L591" s="11">
        <v>88</v>
      </c>
      <c r="M591" s="11">
        <v>82</v>
      </c>
      <c r="N591" s="12">
        <f>SUM(I591:M591)</f>
        <v>407</v>
      </c>
      <c r="O591" s="13">
        <f>AVERAGE(N591/5)</f>
        <v>81.4</v>
      </c>
      <c r="P591" s="12" t="str">
        <f>IF(N591&gt;=400,"TopPerformer","Improvement")</f>
        <v>TopPerformer</v>
      </c>
      <c r="Q591" s="12" t="str">
        <f>IF(N591&gt;=400,"Excellent",IF(N591&gt;=300,"Good",IF(N591&gt;=200,"Bad","Very Bad")))</f>
        <v>Excellent</v>
      </c>
    </row>
    <row r="592" spans="1:17">
      <c r="A592" s="11" t="s">
        <v>841</v>
      </c>
      <c r="B592" s="11" t="s">
        <v>842</v>
      </c>
      <c r="C592" s="11" t="s">
        <v>19</v>
      </c>
      <c r="D592" s="11">
        <v>19</v>
      </c>
      <c r="E592" s="11" t="s">
        <v>48</v>
      </c>
      <c r="F592" s="11" t="s">
        <v>105</v>
      </c>
      <c r="G592" s="11">
        <v>81</v>
      </c>
      <c r="H592" s="11">
        <v>2.8</v>
      </c>
      <c r="I592" s="11">
        <v>63</v>
      </c>
      <c r="J592" s="11">
        <v>58</v>
      </c>
      <c r="K592" s="11">
        <v>68</v>
      </c>
      <c r="L592" s="11">
        <v>71</v>
      </c>
      <c r="M592" s="11">
        <v>69</v>
      </c>
      <c r="N592" s="12">
        <f>SUM(I592:M592)</f>
        <v>329</v>
      </c>
      <c r="O592" s="13">
        <f>AVERAGE(N592/5)</f>
        <v>65.8</v>
      </c>
      <c r="P592" s="12" t="str">
        <f>IF(N592&gt;=400,"TopPerformer","Improvement")</f>
        <v>Improvement</v>
      </c>
      <c r="Q592" s="12" t="str">
        <f>IF(N592&gt;=400,"Excellent",IF(N592&gt;=300,"Good",IF(N592&gt;=200,"Bad","Very Bad")))</f>
        <v>Good</v>
      </c>
    </row>
    <row r="593" spans="1:17">
      <c r="A593" s="11" t="s">
        <v>843</v>
      </c>
      <c r="B593" s="11" t="s">
        <v>315</v>
      </c>
      <c r="C593" s="11" t="s">
        <v>30</v>
      </c>
      <c r="D593" s="11">
        <v>21</v>
      </c>
      <c r="E593" s="11" t="s">
        <v>38</v>
      </c>
      <c r="F593" s="11" t="s">
        <v>52</v>
      </c>
      <c r="G593" s="11">
        <v>70</v>
      </c>
      <c r="H593" s="11">
        <v>4.8</v>
      </c>
      <c r="I593" s="11">
        <v>87</v>
      </c>
      <c r="J593" s="11">
        <v>78</v>
      </c>
      <c r="K593" s="11">
        <v>72</v>
      </c>
      <c r="L593" s="11">
        <v>69</v>
      </c>
      <c r="M593" s="11">
        <v>68</v>
      </c>
      <c r="N593" s="12">
        <f>SUM(I593:M593)</f>
        <v>374</v>
      </c>
      <c r="O593" s="13">
        <f>AVERAGE(N593/5)</f>
        <v>74.8</v>
      </c>
      <c r="P593" s="12" t="str">
        <f>IF(N593&gt;=400,"TopPerformer","Improvement")</f>
        <v>Improvement</v>
      </c>
      <c r="Q593" s="12" t="str">
        <f>IF(N593&gt;=400,"Excellent",IF(N593&gt;=300,"Good",IF(N593&gt;=200,"Bad","Very Bad")))</f>
        <v>Good</v>
      </c>
    </row>
    <row r="594" spans="1:17">
      <c r="A594" s="11" t="s">
        <v>844</v>
      </c>
      <c r="B594" s="11" t="s">
        <v>89</v>
      </c>
      <c r="C594" s="11" t="s">
        <v>30</v>
      </c>
      <c r="D594" s="11">
        <v>21</v>
      </c>
      <c r="E594" s="11" t="s">
        <v>34</v>
      </c>
      <c r="F594" s="11" t="s">
        <v>105</v>
      </c>
      <c r="G594" s="11">
        <v>81</v>
      </c>
      <c r="H594" s="11">
        <v>1</v>
      </c>
      <c r="I594" s="11">
        <v>47</v>
      </c>
      <c r="J594" s="11">
        <v>47</v>
      </c>
      <c r="K594" s="11">
        <v>44</v>
      </c>
      <c r="L594" s="11">
        <v>46</v>
      </c>
      <c r="M594" s="11">
        <v>63</v>
      </c>
      <c r="N594" s="12">
        <f>SUM(I594:M594)</f>
        <v>247</v>
      </c>
      <c r="O594" s="13">
        <f>AVERAGE(N594/5)</f>
        <v>49.4</v>
      </c>
      <c r="P594" s="12" t="str">
        <f>IF(N594&gt;=400,"TopPerformer","Improvement")</f>
        <v>Improvement</v>
      </c>
      <c r="Q594" s="12" t="str">
        <f>IF(N594&gt;=400,"Excellent",IF(N594&gt;=300,"Good",IF(N594&gt;=200,"Bad","Very Bad")))</f>
        <v>Bad</v>
      </c>
    </row>
    <row r="595" spans="1:17">
      <c r="A595" s="11" t="s">
        <v>845</v>
      </c>
      <c r="B595" s="11" t="s">
        <v>317</v>
      </c>
      <c r="C595" s="11" t="s">
        <v>30</v>
      </c>
      <c r="D595" s="11">
        <v>19</v>
      </c>
      <c r="E595" s="11" t="s">
        <v>24</v>
      </c>
      <c r="F595" s="11" t="s">
        <v>64</v>
      </c>
      <c r="G595" s="11">
        <v>81</v>
      </c>
      <c r="H595" s="11">
        <v>2.6</v>
      </c>
      <c r="I595" s="11">
        <v>62</v>
      </c>
      <c r="J595" s="11">
        <v>50</v>
      </c>
      <c r="K595" s="11">
        <v>45</v>
      </c>
      <c r="L595" s="11">
        <v>53</v>
      </c>
      <c r="M595" s="11">
        <v>55</v>
      </c>
      <c r="N595" s="12">
        <f>SUM(I595:M595)</f>
        <v>265</v>
      </c>
      <c r="O595" s="13">
        <f>AVERAGE(N595/5)</f>
        <v>53</v>
      </c>
      <c r="P595" s="12" t="str">
        <f>IF(N595&gt;=400,"TopPerformer","Improvement")</f>
        <v>Improvement</v>
      </c>
      <c r="Q595" s="12" t="str">
        <f>IF(N595&gt;=400,"Excellent",IF(N595&gt;=300,"Good",IF(N595&gt;=200,"Bad","Very Bad")))</f>
        <v>Bad</v>
      </c>
    </row>
    <row r="596" spans="1:17">
      <c r="A596" s="11" t="s">
        <v>846</v>
      </c>
      <c r="B596" s="11" t="s">
        <v>770</v>
      </c>
      <c r="C596" s="11" t="s">
        <v>30</v>
      </c>
      <c r="D596" s="11">
        <v>21</v>
      </c>
      <c r="E596" s="11" t="s">
        <v>34</v>
      </c>
      <c r="F596" s="11" t="s">
        <v>35</v>
      </c>
      <c r="G596" s="11">
        <v>86</v>
      </c>
      <c r="H596" s="11">
        <v>7.1</v>
      </c>
      <c r="I596" s="11">
        <v>98</v>
      </c>
      <c r="J596" s="11">
        <v>98</v>
      </c>
      <c r="K596" s="11">
        <v>93</v>
      </c>
      <c r="L596" s="11">
        <v>88</v>
      </c>
      <c r="M596" s="11">
        <v>95</v>
      </c>
      <c r="N596" s="12">
        <f>SUM(I596:M596)</f>
        <v>472</v>
      </c>
      <c r="O596" s="13">
        <f>AVERAGE(N596/5)</f>
        <v>94.4</v>
      </c>
      <c r="P596" s="12" t="str">
        <f>IF(N596&gt;=400,"TopPerformer","Improvement")</f>
        <v>TopPerformer</v>
      </c>
      <c r="Q596" s="12" t="str">
        <f>IF(N596&gt;=400,"Excellent",IF(N596&gt;=300,"Good",IF(N596&gt;=200,"Bad","Very Bad")))</f>
        <v>Excellent</v>
      </c>
    </row>
    <row r="597" spans="1:17">
      <c r="A597" s="11" t="s">
        <v>847</v>
      </c>
      <c r="B597" s="11" t="s">
        <v>172</v>
      </c>
      <c r="C597" s="11" t="s">
        <v>30</v>
      </c>
      <c r="D597" s="11">
        <v>19</v>
      </c>
      <c r="E597" s="11" t="s">
        <v>38</v>
      </c>
      <c r="F597" s="11" t="s">
        <v>44</v>
      </c>
      <c r="G597" s="11">
        <v>85</v>
      </c>
      <c r="H597" s="11">
        <v>2.8</v>
      </c>
      <c r="I597" s="11">
        <v>59</v>
      </c>
      <c r="J597" s="11">
        <v>55</v>
      </c>
      <c r="K597" s="11">
        <v>41</v>
      </c>
      <c r="L597" s="11">
        <v>44</v>
      </c>
      <c r="M597" s="11">
        <v>47</v>
      </c>
      <c r="N597" s="12">
        <f>SUM(I597:M597)</f>
        <v>246</v>
      </c>
      <c r="O597" s="13">
        <f>AVERAGE(N597/5)</f>
        <v>49.2</v>
      </c>
      <c r="P597" s="12" t="str">
        <f>IF(N597&gt;=400,"TopPerformer","Improvement")</f>
        <v>Improvement</v>
      </c>
      <c r="Q597" s="12" t="str">
        <f>IF(N597&gt;=400,"Excellent",IF(N597&gt;=300,"Good",IF(N597&gt;=200,"Bad","Very Bad")))</f>
        <v>Bad</v>
      </c>
    </row>
    <row r="598" spans="1:17">
      <c r="A598" s="11" t="s">
        <v>848</v>
      </c>
      <c r="B598" s="11" t="s">
        <v>29</v>
      </c>
      <c r="C598" s="11" t="s">
        <v>19</v>
      </c>
      <c r="D598" s="11">
        <v>22</v>
      </c>
      <c r="E598" s="11" t="s">
        <v>27</v>
      </c>
      <c r="F598" s="11" t="s">
        <v>52</v>
      </c>
      <c r="G598" s="11">
        <v>91</v>
      </c>
      <c r="H598" s="11">
        <v>4.9</v>
      </c>
      <c r="I598" s="11">
        <v>83</v>
      </c>
      <c r="J598" s="11">
        <v>80</v>
      </c>
      <c r="K598" s="11">
        <v>87</v>
      </c>
      <c r="L598" s="11">
        <v>85</v>
      </c>
      <c r="M598" s="11">
        <v>81</v>
      </c>
      <c r="N598" s="12">
        <f>SUM(I598:M598)</f>
        <v>416</v>
      </c>
      <c r="O598" s="13">
        <f>AVERAGE(N598/5)</f>
        <v>83.2</v>
      </c>
      <c r="P598" s="12" t="str">
        <f>IF(N598&gt;=400,"TopPerformer","Improvement")</f>
        <v>TopPerformer</v>
      </c>
      <c r="Q598" s="12" t="str">
        <f>IF(N598&gt;=400,"Excellent",IF(N598&gt;=300,"Good",IF(N598&gt;=200,"Bad","Very Bad")))</f>
        <v>Excellent</v>
      </c>
    </row>
    <row r="599" spans="1:17">
      <c r="A599" s="11" t="s">
        <v>849</v>
      </c>
      <c r="B599" s="11" t="s">
        <v>170</v>
      </c>
      <c r="C599" s="11" t="s">
        <v>30</v>
      </c>
      <c r="D599" s="11">
        <v>20</v>
      </c>
      <c r="E599" s="11" t="s">
        <v>38</v>
      </c>
      <c r="F599" s="11" t="s">
        <v>35</v>
      </c>
      <c r="G599" s="11">
        <v>79</v>
      </c>
      <c r="H599" s="11">
        <v>5.5</v>
      </c>
      <c r="I599" s="11">
        <v>70</v>
      </c>
      <c r="J599" s="11">
        <v>93</v>
      </c>
      <c r="K599" s="11">
        <v>72</v>
      </c>
      <c r="L599" s="11">
        <v>72</v>
      </c>
      <c r="M599" s="11">
        <v>80</v>
      </c>
      <c r="N599" s="12">
        <f>SUM(I599:M599)</f>
        <v>387</v>
      </c>
      <c r="O599" s="13">
        <f>AVERAGE(N599/5)</f>
        <v>77.4</v>
      </c>
      <c r="P599" s="12" t="str">
        <f>IF(N599&gt;=400,"TopPerformer","Improvement")</f>
        <v>Improvement</v>
      </c>
      <c r="Q599" s="12" t="str">
        <f>IF(N599&gt;=400,"Excellent",IF(N599&gt;=300,"Good",IF(N599&gt;=200,"Bad","Very Bad")))</f>
        <v>Good</v>
      </c>
    </row>
    <row r="600" spans="1:17">
      <c r="A600" s="11" t="s">
        <v>850</v>
      </c>
      <c r="B600" s="11" t="s">
        <v>447</v>
      </c>
      <c r="C600" s="11" t="s">
        <v>19</v>
      </c>
      <c r="D600" s="11">
        <v>20</v>
      </c>
      <c r="E600" s="11" t="s">
        <v>24</v>
      </c>
      <c r="F600" s="11" t="s">
        <v>31</v>
      </c>
      <c r="G600" s="11">
        <v>88</v>
      </c>
      <c r="H600" s="11">
        <v>5.4</v>
      </c>
      <c r="I600" s="11">
        <v>69</v>
      </c>
      <c r="J600" s="11">
        <v>69</v>
      </c>
      <c r="K600" s="11">
        <v>82</v>
      </c>
      <c r="L600" s="11">
        <v>46</v>
      </c>
      <c r="M600" s="11">
        <v>61</v>
      </c>
      <c r="N600" s="12">
        <f>SUM(I600:M600)</f>
        <v>327</v>
      </c>
      <c r="O600" s="13">
        <f>AVERAGE(N600/5)</f>
        <v>65.4</v>
      </c>
      <c r="P600" s="12" t="str">
        <f>IF(N600&gt;=400,"TopPerformer","Improvement")</f>
        <v>Improvement</v>
      </c>
      <c r="Q600" s="12" t="str">
        <f>IF(N600&gt;=400,"Excellent",IF(N600&gt;=300,"Good",IF(N600&gt;=200,"Bad","Very Bad")))</f>
        <v>Good</v>
      </c>
    </row>
    <row r="601" spans="1:17">
      <c r="A601" s="11" t="s">
        <v>851</v>
      </c>
      <c r="B601" s="11" t="s">
        <v>476</v>
      </c>
      <c r="C601" s="11" t="s">
        <v>30</v>
      </c>
      <c r="D601" s="11">
        <v>22</v>
      </c>
      <c r="E601" s="11" t="s">
        <v>20</v>
      </c>
      <c r="F601" s="11" t="s">
        <v>44</v>
      </c>
      <c r="G601" s="11">
        <v>80</v>
      </c>
      <c r="H601" s="11">
        <v>2.8</v>
      </c>
      <c r="I601" s="11">
        <v>65</v>
      </c>
      <c r="J601" s="11">
        <v>58</v>
      </c>
      <c r="K601" s="11">
        <v>57</v>
      </c>
      <c r="L601" s="11">
        <v>59</v>
      </c>
      <c r="M601" s="11">
        <v>60</v>
      </c>
      <c r="N601" s="12">
        <f>SUM(I601:M601)</f>
        <v>299</v>
      </c>
      <c r="O601" s="13">
        <f>AVERAGE(N601/5)</f>
        <v>59.8</v>
      </c>
      <c r="P601" s="12" t="str">
        <f>IF(N601&gt;=400,"TopPerformer","Improvement")</f>
        <v>Improvement</v>
      </c>
      <c r="Q601" s="12" t="str">
        <f>IF(N601&gt;=400,"Excellent",IF(N601&gt;=300,"Good",IF(N601&gt;=200,"Bad","Very Bad")))</f>
        <v>Bad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4" sqref="B4"/>
    </sheetView>
  </sheetViews>
  <sheetFormatPr defaultColWidth="9.14285714285714" defaultRowHeight="15" outlineLevelRow="1" outlineLevelCol="3"/>
  <cols>
    <col min="1" max="1" width="28.7142857142857" customWidth="1"/>
    <col min="2" max="2" width="30.8571428571429" customWidth="1"/>
    <col min="3" max="3" width="31.4285714285714" customWidth="1"/>
    <col min="4" max="4" width="22" customWidth="1"/>
  </cols>
  <sheetData>
    <row r="1" ht="27" customHeight="1" spans="1:4">
      <c r="A1" s="8" t="s">
        <v>852</v>
      </c>
      <c r="B1" s="8" t="s">
        <v>853</v>
      </c>
      <c r="C1" s="8" t="s">
        <v>854</v>
      </c>
      <c r="D1" s="8" t="s">
        <v>855</v>
      </c>
    </row>
    <row r="2" ht="32" customHeight="1" spans="1:4">
      <c r="A2" s="9">
        <f>COUNTA(Data!A2:A601)</f>
        <v>600</v>
      </c>
      <c r="B2" s="9" cm="1">
        <f t="array" ref="B2">COUNTA(_xlfn.UNIQUE(Data!E2:E601))</f>
        <v>6</v>
      </c>
      <c r="C2" s="9">
        <f>AVERAGE(Data!G2:G601)</f>
        <v>81.3916666666667</v>
      </c>
      <c r="D2" s="9" cm="1">
        <f t="array" ref="D2">COUNTA(_xlfn.UNIQUE(Data!F2:F601))</f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zoomScale="50" zoomScaleNormal="50" workbookViewId="0">
      <selection activeCell="H52" sqref="H52"/>
    </sheetView>
  </sheetViews>
  <sheetFormatPr defaultColWidth="9.14285714285714" defaultRowHeight="15"/>
  <cols>
    <col min="1" max="1" width="12.1428571428571"/>
    <col min="2" max="2" width="24.5714285714286"/>
    <col min="3" max="3" width="27.1428571428571"/>
    <col min="5" max="5" width="4.00952380952381" customWidth="1"/>
    <col min="7" max="7" width="24.5714285714286"/>
    <col min="8" max="8" width="47.7142857142857" customWidth="1"/>
    <col min="9" max="9" width="24.5714285714286"/>
    <col min="10" max="10" width="24"/>
  </cols>
  <sheetData>
    <row r="1" ht="29" customHeight="1" spans="1:8">
      <c r="A1" s="3" t="s">
        <v>856</v>
      </c>
      <c r="B1" s="4"/>
      <c r="C1" s="4"/>
      <c r="D1" s="4"/>
      <c r="E1" s="4"/>
      <c r="G1" s="5" t="s">
        <v>854</v>
      </c>
      <c r="H1" s="6"/>
    </row>
    <row r="3" spans="1:8">
      <c r="A3" t="s">
        <v>2</v>
      </c>
      <c r="B3" t="s">
        <v>857</v>
      </c>
      <c r="C3"/>
      <c r="G3" t="s">
        <v>4</v>
      </c>
      <c r="H3" t="s">
        <v>858</v>
      </c>
    </row>
    <row r="4" spans="1:8">
      <c r="A4" t="s">
        <v>30</v>
      </c>
      <c r="B4">
        <v>64.8033112582782</v>
      </c>
      <c r="C4"/>
      <c r="G4" t="s">
        <v>24</v>
      </c>
      <c r="H4">
        <v>81.8125</v>
      </c>
    </row>
    <row r="5" spans="1:8">
      <c r="A5" t="s">
        <v>19</v>
      </c>
      <c r="B5">
        <v>62.9899328859061</v>
      </c>
      <c r="C5"/>
      <c r="G5" t="s">
        <v>20</v>
      </c>
      <c r="H5">
        <v>81.3425925925926</v>
      </c>
    </row>
    <row r="6" spans="1:8">
      <c r="A6" t="s">
        <v>859</v>
      </c>
      <c r="B6">
        <v>63.9026666666667</v>
      </c>
      <c r="C6"/>
      <c r="G6" t="s">
        <v>38</v>
      </c>
      <c r="H6">
        <v>80.018018018018</v>
      </c>
    </row>
    <row r="7" spans="1:8">
      <c r="G7" t="s">
        <v>34</v>
      </c>
      <c r="H7">
        <v>81.188679245283</v>
      </c>
    </row>
    <row r="8" spans="1:8">
      <c r="G8" t="s">
        <v>48</v>
      </c>
      <c r="H8">
        <v>81.1020408163265</v>
      </c>
    </row>
    <row r="9" spans="1:8">
      <c r="G9" t="s">
        <v>27</v>
      </c>
      <c r="H9">
        <v>83.4567901234568</v>
      </c>
    </row>
    <row r="10" spans="1:8">
      <c r="G10" t="s">
        <v>859</v>
      </c>
      <c r="H10">
        <v>81.3916666666667</v>
      </c>
    </row>
    <row r="29" ht="36" customHeight="1" spans="2:10">
      <c r="B29" s="3" t="s">
        <v>857</v>
      </c>
      <c r="C29" s="4"/>
      <c r="D29" s="4"/>
      <c r="E29" s="4"/>
      <c r="F29" s="4"/>
      <c r="G29" s="4"/>
      <c r="I29" s="3" t="s">
        <v>860</v>
      </c>
      <c r="J29" s="7"/>
    </row>
    <row r="31" spans="2:10">
      <c r="B31" t="s">
        <v>4</v>
      </c>
      <c r="C31" t="s">
        <v>857</v>
      </c>
      <c r="I31" t="s">
        <v>4</v>
      </c>
      <c r="J31" t="s">
        <v>861</v>
      </c>
    </row>
    <row r="32" spans="2:10">
      <c r="B32" t="s">
        <v>24</v>
      </c>
      <c r="C32">
        <v>64.8541666666667</v>
      </c>
      <c r="I32" t="s">
        <v>24</v>
      </c>
      <c r="J32">
        <v>324.270833333333</v>
      </c>
    </row>
    <row r="33" spans="2:10">
      <c r="B33" t="s">
        <v>20</v>
      </c>
      <c r="C33">
        <v>62.7092592592593</v>
      </c>
      <c r="I33" t="s">
        <v>20</v>
      </c>
      <c r="J33">
        <v>313.546296296296</v>
      </c>
    </row>
    <row r="34" spans="2:10">
      <c r="B34" t="s">
        <v>38</v>
      </c>
      <c r="C34">
        <v>64.3639639639639</v>
      </c>
      <c r="I34" t="s">
        <v>38</v>
      </c>
      <c r="J34">
        <v>321.81981981982</v>
      </c>
    </row>
    <row r="35" spans="2:10">
      <c r="B35" t="s">
        <v>34</v>
      </c>
      <c r="C35">
        <v>63.8358490566038</v>
      </c>
      <c r="I35" t="s">
        <v>34</v>
      </c>
      <c r="J35">
        <v>319.179245283019</v>
      </c>
    </row>
    <row r="36" spans="2:10">
      <c r="B36" t="s">
        <v>48</v>
      </c>
      <c r="C36">
        <v>62.8040816326531</v>
      </c>
      <c r="I36" t="s">
        <v>48</v>
      </c>
      <c r="J36">
        <v>314.020408163265</v>
      </c>
    </row>
    <row r="37" spans="2:10">
      <c r="B37" t="s">
        <v>27</v>
      </c>
      <c r="C37">
        <v>65.1506172839506</v>
      </c>
      <c r="I37" t="s">
        <v>27</v>
      </c>
      <c r="J37">
        <v>325.753086419753</v>
      </c>
    </row>
    <row r="38" spans="2:10">
      <c r="B38" t="s">
        <v>859</v>
      </c>
      <c r="C38">
        <v>63.9026666666667</v>
      </c>
      <c r="I38" t="s">
        <v>859</v>
      </c>
      <c r="J38">
        <v>319.513333333333</v>
      </c>
    </row>
  </sheetData>
  <mergeCells count="4">
    <mergeCell ref="A1:E1"/>
    <mergeCell ref="G1:H1"/>
    <mergeCell ref="B29:G29"/>
    <mergeCell ref="I29:J29"/>
  </mergeCells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B10"/>
  <sheetViews>
    <sheetView showGridLines="0" tabSelected="1" zoomScale="90" zoomScaleNormal="90" workbookViewId="0">
      <selection activeCell="V12" sqref="V12"/>
    </sheetView>
  </sheetViews>
  <sheetFormatPr defaultColWidth="9.14285714285714" defaultRowHeight="15" outlineLevelCol="1"/>
  <cols>
    <col min="1" max="16384" width="9.14285714285714" style="1"/>
  </cols>
  <sheetData>
    <row r="10" spans="1:2">
      <c r="A10" s="2"/>
      <c r="B10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KPI</vt:lpstr>
      <vt:lpstr>Pivot and Chart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2026-09-18T10:28:32Z</dcterms:created>
  <dcterms:modified xsi:type="dcterms:W3CDTF">2026-09-18T15:49:54Z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A24841A33BA7456C9C48F7838547E446_13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